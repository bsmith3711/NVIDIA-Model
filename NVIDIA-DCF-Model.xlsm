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/>
  <workbookPr filterPrivacy="1"/>
  <xr:revisionPtr revIDLastSave="0" documentId="13_ncr:1_{D687D496-5A3B-4F40-B11F-EC6A8A513D79}" xr6:coauthVersionLast="47" xr6:coauthVersionMax="47" xr10:uidLastSave="{00000000-0000-0000-0000-000000000000}"/>
  <bookViews>
    <workbookView xWindow="-100" yWindow="500" windowWidth="46300" windowHeight="25420" activeTab="1" xr2:uid="{1F977004-A12D-47CA-BAC2-9D34EBC4AB6C}"/>
  </bookViews>
  <sheets>
    <sheet name="FSM" sheetId="2" r:id="rId1"/>
    <sheet name="DCF" sheetId="3" r:id="rId2"/>
  </sheets>
  <definedNames>
    <definedName name="Circ">FSM!$L$3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5" i="3" l="1"/>
  <c r="E39" i="3"/>
  <c r="G81" i="2"/>
  <c r="G84" i="2" s="1"/>
  <c r="F81" i="2"/>
  <c r="F84" i="2"/>
  <c r="E84" i="2"/>
  <c r="E81" i="2"/>
  <c r="E82" i="2" s="1"/>
  <c r="G82" i="2"/>
  <c r="F82" i="2"/>
  <c r="G115" i="2"/>
  <c r="F115" i="2"/>
  <c r="L90" i="2"/>
  <c r="H90" i="2"/>
  <c r="J29" i="3" l="1"/>
  <c r="F15" i="3"/>
  <c r="H253" i="2"/>
  <c r="I253" i="2" s="1"/>
  <c r="E181" i="2"/>
  <c r="E251" i="2"/>
  <c r="E158" i="2"/>
  <c r="E127" i="2"/>
  <c r="E96" i="2"/>
  <c r="E77" i="2"/>
  <c r="E59" i="2"/>
  <c r="E23" i="2"/>
  <c r="H26" i="2"/>
  <c r="H25" i="2" s="1"/>
  <c r="H32" i="2"/>
  <c r="H31" i="2" s="1"/>
  <c r="H38" i="2"/>
  <c r="H37" i="2" s="1"/>
  <c r="H44" i="2"/>
  <c r="H43" i="2" s="1"/>
  <c r="H50" i="2"/>
  <c r="H49" i="2" s="1"/>
  <c r="H61" i="2"/>
  <c r="H66" i="2"/>
  <c r="H71" i="2"/>
  <c r="H170" i="2"/>
  <c r="H165" i="2"/>
  <c r="H129" i="2"/>
  <c r="H134" i="2"/>
  <c r="H139" i="2"/>
  <c r="H144" i="2"/>
  <c r="H149" i="2"/>
  <c r="E8" i="3"/>
  <c r="E23" i="3"/>
  <c r="L165" i="2"/>
  <c r="E32" i="3"/>
  <c r="C46" i="3"/>
  <c r="C47" i="3" s="1"/>
  <c r="C48" i="3" s="1"/>
  <c r="C49" i="3" s="1"/>
  <c r="C50" i="3" s="1"/>
  <c r="C51" i="3" s="1"/>
  <c r="C52" i="3" s="1"/>
  <c r="C53" i="3" s="1"/>
  <c r="E44" i="3"/>
  <c r="F44" i="3" s="1"/>
  <c r="G44" i="3" s="1"/>
  <c r="H44" i="3" s="1"/>
  <c r="I44" i="3" s="1"/>
  <c r="G5" i="3"/>
  <c r="H5" i="3" s="1"/>
  <c r="F7" i="2"/>
  <c r="G7" i="2" s="1"/>
  <c r="G181" i="2" s="1"/>
  <c r="G226" i="2"/>
  <c r="H224" i="2" s="1"/>
  <c r="H227" i="2" s="1"/>
  <c r="G55" i="2"/>
  <c r="G9" i="2" s="1"/>
  <c r="G15" i="2"/>
  <c r="E22" i="3" s="1"/>
  <c r="F55" i="2"/>
  <c r="F9" i="2" s="1"/>
  <c r="F15" i="2"/>
  <c r="E55" i="2"/>
  <c r="E56" i="2" s="1"/>
  <c r="E15" i="2"/>
  <c r="G254" i="2"/>
  <c r="F254" i="2"/>
  <c r="E254" i="2"/>
  <c r="G98" i="2"/>
  <c r="G102" i="2" s="1"/>
  <c r="L247" i="2"/>
  <c r="K247" i="2"/>
  <c r="J247" i="2"/>
  <c r="I247" i="2"/>
  <c r="H247" i="2"/>
  <c r="L243" i="2"/>
  <c r="K243" i="2"/>
  <c r="J243" i="2"/>
  <c r="I243" i="2"/>
  <c r="H243" i="2"/>
  <c r="G235" i="2"/>
  <c r="H232" i="2" s="1"/>
  <c r="H233" i="2" s="1"/>
  <c r="H220" i="2" s="1"/>
  <c r="H206" i="2" s="1"/>
  <c r="L241" i="2"/>
  <c r="K241" i="2"/>
  <c r="J241" i="2"/>
  <c r="I241" i="2"/>
  <c r="H241" i="2"/>
  <c r="L221" i="2"/>
  <c r="K221" i="2"/>
  <c r="J221" i="2"/>
  <c r="I221" i="2"/>
  <c r="H221" i="2"/>
  <c r="I188" i="2"/>
  <c r="J188" i="2" s="1"/>
  <c r="K188" i="2" s="1"/>
  <c r="L188" i="2" s="1"/>
  <c r="H120" i="2"/>
  <c r="H202" i="2" s="1"/>
  <c r="H115" i="2"/>
  <c r="H198" i="2" s="1"/>
  <c r="G106" i="2"/>
  <c r="G154" i="2"/>
  <c r="G186" i="2"/>
  <c r="H183" i="2" s="1"/>
  <c r="G105" i="2"/>
  <c r="H175" i="2" s="1"/>
  <c r="H178" i="2" s="1"/>
  <c r="I177" i="2"/>
  <c r="J177" i="2" s="1"/>
  <c r="K177" i="2" s="1"/>
  <c r="L177" i="2" s="1"/>
  <c r="G170" i="2"/>
  <c r="F170" i="2"/>
  <c r="E170" i="2"/>
  <c r="G163" i="2"/>
  <c r="H160" i="2" s="1"/>
  <c r="F154" i="2"/>
  <c r="L129" i="2"/>
  <c r="L149" i="2"/>
  <c r="G149" i="2"/>
  <c r="F149" i="2"/>
  <c r="L144" i="2"/>
  <c r="G144" i="2"/>
  <c r="F144" i="2"/>
  <c r="L139" i="2"/>
  <c r="L134" i="2"/>
  <c r="G134" i="2"/>
  <c r="F134" i="2"/>
  <c r="G111" i="2"/>
  <c r="G118" i="2"/>
  <c r="F98" i="2"/>
  <c r="F102" i="2" s="1"/>
  <c r="F105" i="2"/>
  <c r="F106" i="2"/>
  <c r="F111" i="2"/>
  <c r="F114" i="2"/>
  <c r="F118" i="2"/>
  <c r="L61" i="2"/>
  <c r="I119" i="2"/>
  <c r="J119" i="2" s="1"/>
  <c r="K119" i="2" s="1"/>
  <c r="L119" i="2" s="1"/>
  <c r="L71" i="2"/>
  <c r="L66" i="2"/>
  <c r="L50" i="2"/>
  <c r="G50" i="2"/>
  <c r="F50" i="2"/>
  <c r="E50" i="2"/>
  <c r="L44" i="2"/>
  <c r="G44" i="2"/>
  <c r="F44" i="2"/>
  <c r="E44" i="2"/>
  <c r="L38" i="2"/>
  <c r="G38" i="2"/>
  <c r="F38" i="2"/>
  <c r="E38" i="2"/>
  <c r="L32" i="2"/>
  <c r="G32" i="2"/>
  <c r="F32" i="2"/>
  <c r="E32" i="2"/>
  <c r="L26" i="2"/>
  <c r="G26" i="2"/>
  <c r="F26" i="2"/>
  <c r="E26" i="2"/>
  <c r="I17" i="2"/>
  <c r="J17" i="2" s="1"/>
  <c r="K17" i="2" s="1"/>
  <c r="L17" i="2" s="1"/>
  <c r="H4" i="2"/>
  <c r="N5" i="3" s="1"/>
  <c r="G11" i="2" l="1"/>
  <c r="G61" i="2" s="1"/>
  <c r="G15" i="3"/>
  <c r="H15" i="3"/>
  <c r="F251" i="2"/>
  <c r="F181" i="2"/>
  <c r="G251" i="2"/>
  <c r="F158" i="2"/>
  <c r="G158" i="2"/>
  <c r="F127" i="2"/>
  <c r="G127" i="2"/>
  <c r="F96" i="2"/>
  <c r="G96" i="2"/>
  <c r="G77" i="2"/>
  <c r="F77" i="2"/>
  <c r="G59" i="2"/>
  <c r="G23" i="2"/>
  <c r="F23" i="2"/>
  <c r="F59" i="2"/>
  <c r="H255" i="2"/>
  <c r="H254" i="2" s="1"/>
  <c r="I120" i="2"/>
  <c r="J120" i="2" s="1"/>
  <c r="K120" i="2" s="1"/>
  <c r="G107" i="2"/>
  <c r="J27" i="3"/>
  <c r="G155" i="2"/>
  <c r="G213" i="2"/>
  <c r="H211" i="2" s="1"/>
  <c r="H219" i="2"/>
  <c r="F116" i="2"/>
  <c r="F122" i="2" s="1"/>
  <c r="F71" i="2"/>
  <c r="F129" i="2"/>
  <c r="F90" i="2"/>
  <c r="F56" i="2"/>
  <c r="G56" i="2"/>
  <c r="F107" i="2"/>
  <c r="G116" i="2"/>
  <c r="G122" i="2" s="1"/>
  <c r="E9" i="2"/>
  <c r="H105" i="2"/>
  <c r="I175" i="2"/>
  <c r="I178" i="2" s="1"/>
  <c r="J253" i="2"/>
  <c r="H7" i="2"/>
  <c r="I115" i="2"/>
  <c r="I198" i="2" s="1"/>
  <c r="G129" i="2"/>
  <c r="G90" i="2"/>
  <c r="F165" i="2"/>
  <c r="F139" i="2"/>
  <c r="G165" i="2"/>
  <c r="G139" i="2"/>
  <c r="H106" i="2"/>
  <c r="H197" i="2" s="1"/>
  <c r="F11" i="2"/>
  <c r="F66" i="2"/>
  <c r="G66" i="2"/>
  <c r="G71" i="2"/>
  <c r="E24" i="3"/>
  <c r="I5" i="3"/>
  <c r="D35" i="3"/>
  <c r="H55" i="2"/>
  <c r="G14" i="2" l="1"/>
  <c r="G18" i="2" s="1"/>
  <c r="E66" i="2"/>
  <c r="I15" i="3"/>
  <c r="H238" i="2"/>
  <c r="H251" i="2"/>
  <c r="H191" i="2"/>
  <c r="H216" i="2"/>
  <c r="H181" i="2"/>
  <c r="H158" i="2"/>
  <c r="H127" i="2"/>
  <c r="H96" i="2"/>
  <c r="H77" i="2"/>
  <c r="H59" i="2"/>
  <c r="H23" i="2"/>
  <c r="G124" i="2"/>
  <c r="I255" i="2"/>
  <c r="I254" i="2" s="1"/>
  <c r="J202" i="2"/>
  <c r="I202" i="2"/>
  <c r="F124" i="2"/>
  <c r="E165" i="2"/>
  <c r="E11" i="2"/>
  <c r="E90" i="2"/>
  <c r="E71" i="2"/>
  <c r="J115" i="2"/>
  <c r="J198" i="2" s="1"/>
  <c r="I7" i="2"/>
  <c r="I106" i="2"/>
  <c r="I197" i="2" s="1"/>
  <c r="L120" i="2"/>
  <c r="L202" i="2" s="1"/>
  <c r="K202" i="2"/>
  <c r="K253" i="2"/>
  <c r="F61" i="2"/>
  <c r="F14" i="2"/>
  <c r="J175" i="2"/>
  <c r="J178" i="2" s="1"/>
  <c r="I105" i="2"/>
  <c r="D37" i="3"/>
  <c r="E36" i="3" s="1"/>
  <c r="J5" i="3"/>
  <c r="J15" i="3" s="1"/>
  <c r="H56" i="2"/>
  <c r="H9" i="2"/>
  <c r="G79" i="2" l="1"/>
  <c r="I238" i="2"/>
  <c r="I251" i="2"/>
  <c r="I191" i="2"/>
  <c r="I216" i="2"/>
  <c r="I181" i="2"/>
  <c r="I158" i="2"/>
  <c r="I127" i="2"/>
  <c r="I96" i="2"/>
  <c r="I77" i="2"/>
  <c r="I59" i="2"/>
  <c r="I23" i="2"/>
  <c r="J255" i="2"/>
  <c r="J254" i="2" s="1"/>
  <c r="E14" i="2"/>
  <c r="E61" i="2"/>
  <c r="K115" i="2"/>
  <c r="K198" i="2" s="1"/>
  <c r="L253" i="2"/>
  <c r="J106" i="2"/>
  <c r="J197" i="2" s="1"/>
  <c r="F79" i="2"/>
  <c r="F18" i="2"/>
  <c r="F20" i="2" s="1"/>
  <c r="G20" i="2"/>
  <c r="E25" i="3"/>
  <c r="E26" i="3" s="1"/>
  <c r="J7" i="2"/>
  <c r="K175" i="2"/>
  <c r="K178" i="2" s="1"/>
  <c r="J105" i="2"/>
  <c r="E35" i="3"/>
  <c r="E37" i="3" s="1"/>
  <c r="H13" i="2"/>
  <c r="H110" i="2" s="1"/>
  <c r="H80" i="2"/>
  <c r="H10" i="2"/>
  <c r="H11" i="2" s="1"/>
  <c r="H101" i="2"/>
  <c r="H99" i="2"/>
  <c r="H161" i="2"/>
  <c r="H12" i="2"/>
  <c r="H195" i="2" l="1"/>
  <c r="H118" i="2" s="1"/>
  <c r="J238" i="2"/>
  <c r="J251" i="2"/>
  <c r="J191" i="2"/>
  <c r="J216" i="2"/>
  <c r="J181" i="2"/>
  <c r="J158" i="2"/>
  <c r="J127" i="2"/>
  <c r="J96" i="2"/>
  <c r="J77" i="2"/>
  <c r="J59" i="2"/>
  <c r="J23" i="2"/>
  <c r="K255" i="2"/>
  <c r="K254" i="2" s="1"/>
  <c r="G85" i="2"/>
  <c r="G87" i="2"/>
  <c r="G88" i="2" s="1"/>
  <c r="E79" i="2"/>
  <c r="E18" i="2"/>
  <c r="E20" i="2" s="1"/>
  <c r="L115" i="2"/>
  <c r="L198" i="2" s="1"/>
  <c r="F188" i="2"/>
  <c r="F257" i="2"/>
  <c r="F258" i="2"/>
  <c r="L175" i="2"/>
  <c r="L178" i="2" s="1"/>
  <c r="L105" i="2" s="1"/>
  <c r="K105" i="2"/>
  <c r="K106" i="2"/>
  <c r="K197" i="2" s="1"/>
  <c r="K7" i="2"/>
  <c r="G188" i="2"/>
  <c r="G257" i="2"/>
  <c r="G258" i="2"/>
  <c r="H14" i="2"/>
  <c r="H201" i="2"/>
  <c r="H162" i="2"/>
  <c r="H194" i="2" s="1"/>
  <c r="H83" i="2" s="1"/>
  <c r="H100" i="2"/>
  <c r="H109" i="2"/>
  <c r="H111" i="2" s="1"/>
  <c r="H79" i="2" l="1"/>
  <c r="H81" i="2" s="1"/>
  <c r="H82" i="2" s="1"/>
  <c r="F7" i="3"/>
  <c r="F10" i="3"/>
  <c r="K238" i="2"/>
  <c r="K251" i="2"/>
  <c r="K191" i="2"/>
  <c r="K216" i="2"/>
  <c r="K181" i="2"/>
  <c r="K158" i="2"/>
  <c r="K127" i="2"/>
  <c r="K96" i="2"/>
  <c r="K77" i="2"/>
  <c r="K59" i="2"/>
  <c r="K23" i="2"/>
  <c r="L255" i="2"/>
  <c r="L254" i="2" s="1"/>
  <c r="F85" i="2"/>
  <c r="F87" i="2"/>
  <c r="F88" i="2" s="1"/>
  <c r="E258" i="2"/>
  <c r="E188" i="2"/>
  <c r="E257" i="2"/>
  <c r="L7" i="2"/>
  <c r="L106" i="2"/>
  <c r="L197" i="2" s="1"/>
  <c r="H154" i="2"/>
  <c r="H155" i="2" s="1"/>
  <c r="H196" i="2" s="1"/>
  <c r="F11" i="3" s="1"/>
  <c r="H203" i="2"/>
  <c r="F12" i="3"/>
  <c r="H163" i="2"/>
  <c r="H84" i="2" l="1"/>
  <c r="H85" i="2" s="1"/>
  <c r="L238" i="2"/>
  <c r="L251" i="2"/>
  <c r="L191" i="2"/>
  <c r="L216" i="2"/>
  <c r="L181" i="2"/>
  <c r="L158" i="2"/>
  <c r="L127" i="2"/>
  <c r="L96" i="2"/>
  <c r="L77" i="2"/>
  <c r="L59" i="2"/>
  <c r="L23" i="2"/>
  <c r="E85" i="2"/>
  <c r="E87" i="2"/>
  <c r="E88" i="2" s="1"/>
  <c r="I160" i="2"/>
  <c r="H104" i="2"/>
  <c r="H87" i="2" l="1"/>
  <c r="H88" i="2" s="1"/>
  <c r="F8" i="3" l="1"/>
  <c r="F9" i="3" s="1"/>
  <c r="F13" i="3" s="1"/>
  <c r="F16" i="3" s="1"/>
  <c r="G7" i="3" l="1"/>
  <c r="H7" i="3"/>
  <c r="I7" i="3"/>
  <c r="J7" i="3"/>
  <c r="G8" i="3"/>
  <c r="H8" i="3"/>
  <c r="I8" i="3"/>
  <c r="J8" i="3"/>
  <c r="G9" i="3"/>
  <c r="H9" i="3"/>
  <c r="I9" i="3"/>
  <c r="J9" i="3"/>
  <c r="G10" i="3"/>
  <c r="H10" i="3"/>
  <c r="I10" i="3"/>
  <c r="J10" i="3"/>
  <c r="G11" i="3"/>
  <c r="H11" i="3"/>
  <c r="I11" i="3"/>
  <c r="J11" i="3"/>
  <c r="G12" i="3"/>
  <c r="H12" i="3"/>
  <c r="I12" i="3"/>
  <c r="J12" i="3"/>
  <c r="G13" i="3"/>
  <c r="H13" i="3"/>
  <c r="I13" i="3"/>
  <c r="J13" i="3"/>
  <c r="G14" i="3"/>
  <c r="H14" i="3"/>
  <c r="I14" i="3"/>
  <c r="J14" i="3"/>
  <c r="G16" i="3"/>
  <c r="H16" i="3"/>
  <c r="I16" i="3"/>
  <c r="J16" i="3"/>
  <c r="J21" i="3"/>
  <c r="J23" i="3"/>
  <c r="J24" i="3"/>
  <c r="J25" i="3"/>
  <c r="J26" i="3"/>
  <c r="J28" i="3"/>
  <c r="J31" i="3"/>
  <c r="J32" i="3"/>
  <c r="C44" i="3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H15" i="2"/>
  <c r="I15" i="2"/>
  <c r="J15" i="2"/>
  <c r="K15" i="2"/>
  <c r="L15" i="2"/>
  <c r="H16" i="2"/>
  <c r="I16" i="2"/>
  <c r="J16" i="2"/>
  <c r="K16" i="2"/>
  <c r="L16" i="2"/>
  <c r="H18" i="2"/>
  <c r="I18" i="2"/>
  <c r="J18" i="2"/>
  <c r="K18" i="2"/>
  <c r="L18" i="2"/>
  <c r="H19" i="2"/>
  <c r="I19" i="2"/>
  <c r="J19" i="2"/>
  <c r="K19" i="2"/>
  <c r="L19" i="2"/>
  <c r="H20" i="2"/>
  <c r="I20" i="2"/>
  <c r="J20" i="2"/>
  <c r="K20" i="2"/>
  <c r="L20" i="2"/>
  <c r="I25" i="2"/>
  <c r="J25" i="2"/>
  <c r="K25" i="2"/>
  <c r="L25" i="2"/>
  <c r="I26" i="2"/>
  <c r="J26" i="2"/>
  <c r="K26" i="2"/>
  <c r="I27" i="2"/>
  <c r="J27" i="2"/>
  <c r="K27" i="2"/>
  <c r="I28" i="2"/>
  <c r="J28" i="2"/>
  <c r="K28" i="2"/>
  <c r="I29" i="2"/>
  <c r="J29" i="2"/>
  <c r="K29" i="2"/>
  <c r="I31" i="2"/>
  <c r="J31" i="2"/>
  <c r="K31" i="2"/>
  <c r="L31" i="2"/>
  <c r="I32" i="2"/>
  <c r="J32" i="2"/>
  <c r="K32" i="2"/>
  <c r="I33" i="2"/>
  <c r="J33" i="2"/>
  <c r="K33" i="2"/>
  <c r="I34" i="2"/>
  <c r="J34" i="2"/>
  <c r="K34" i="2"/>
  <c r="I35" i="2"/>
  <c r="J35" i="2"/>
  <c r="K35" i="2"/>
  <c r="I37" i="2"/>
  <c r="J37" i="2"/>
  <c r="K37" i="2"/>
  <c r="L37" i="2"/>
  <c r="I38" i="2"/>
  <c r="J38" i="2"/>
  <c r="K38" i="2"/>
  <c r="I39" i="2"/>
  <c r="J39" i="2"/>
  <c r="K39" i="2"/>
  <c r="I40" i="2"/>
  <c r="J40" i="2"/>
  <c r="K40" i="2"/>
  <c r="I41" i="2"/>
  <c r="J41" i="2"/>
  <c r="K41" i="2"/>
  <c r="I43" i="2"/>
  <c r="J43" i="2"/>
  <c r="K43" i="2"/>
  <c r="L43" i="2"/>
  <c r="I44" i="2"/>
  <c r="J44" i="2"/>
  <c r="K44" i="2"/>
  <c r="I45" i="2"/>
  <c r="J45" i="2"/>
  <c r="K45" i="2"/>
  <c r="I46" i="2"/>
  <c r="J46" i="2"/>
  <c r="K46" i="2"/>
  <c r="I47" i="2"/>
  <c r="J47" i="2"/>
  <c r="K47" i="2"/>
  <c r="I49" i="2"/>
  <c r="J49" i="2"/>
  <c r="K49" i="2"/>
  <c r="L49" i="2"/>
  <c r="I50" i="2"/>
  <c r="J50" i="2"/>
  <c r="K50" i="2"/>
  <c r="I51" i="2"/>
  <c r="J51" i="2"/>
  <c r="K51" i="2"/>
  <c r="I52" i="2"/>
  <c r="J52" i="2"/>
  <c r="K52" i="2"/>
  <c r="I53" i="2"/>
  <c r="J53" i="2"/>
  <c r="K53" i="2"/>
  <c r="I55" i="2"/>
  <c r="J55" i="2"/>
  <c r="K55" i="2"/>
  <c r="L55" i="2"/>
  <c r="I56" i="2"/>
  <c r="J56" i="2"/>
  <c r="K56" i="2"/>
  <c r="L56" i="2"/>
  <c r="I61" i="2"/>
  <c r="J61" i="2"/>
  <c r="K61" i="2"/>
  <c r="I62" i="2"/>
  <c r="J62" i="2"/>
  <c r="K62" i="2"/>
  <c r="I63" i="2"/>
  <c r="J63" i="2"/>
  <c r="K63" i="2"/>
  <c r="I64" i="2"/>
  <c r="J64" i="2"/>
  <c r="K64" i="2"/>
  <c r="I66" i="2"/>
  <c r="J66" i="2"/>
  <c r="K66" i="2"/>
  <c r="I67" i="2"/>
  <c r="J67" i="2"/>
  <c r="K67" i="2"/>
  <c r="I68" i="2"/>
  <c r="J68" i="2"/>
  <c r="K68" i="2"/>
  <c r="I69" i="2"/>
  <c r="J69" i="2"/>
  <c r="K69" i="2"/>
  <c r="I71" i="2"/>
  <c r="J71" i="2"/>
  <c r="K71" i="2"/>
  <c r="I72" i="2"/>
  <c r="J72" i="2"/>
  <c r="K72" i="2"/>
  <c r="I73" i="2"/>
  <c r="J73" i="2"/>
  <c r="K73" i="2"/>
  <c r="I74" i="2"/>
  <c r="J74" i="2"/>
  <c r="K74" i="2"/>
  <c r="I79" i="2"/>
  <c r="J79" i="2"/>
  <c r="K79" i="2"/>
  <c r="L79" i="2"/>
  <c r="I80" i="2"/>
  <c r="J80" i="2"/>
  <c r="K80" i="2"/>
  <c r="L80" i="2"/>
  <c r="I81" i="2"/>
  <c r="J81" i="2"/>
  <c r="K81" i="2"/>
  <c r="L81" i="2"/>
  <c r="I82" i="2"/>
  <c r="J82" i="2"/>
  <c r="K82" i="2"/>
  <c r="L82" i="2"/>
  <c r="I83" i="2"/>
  <c r="J83" i="2"/>
  <c r="K83" i="2"/>
  <c r="L83" i="2"/>
  <c r="I84" i="2"/>
  <c r="J84" i="2"/>
  <c r="K84" i="2"/>
  <c r="L84" i="2"/>
  <c r="I85" i="2"/>
  <c r="J85" i="2"/>
  <c r="K85" i="2"/>
  <c r="L85" i="2"/>
  <c r="I87" i="2"/>
  <c r="J87" i="2"/>
  <c r="K87" i="2"/>
  <c r="L87" i="2"/>
  <c r="I88" i="2"/>
  <c r="J88" i="2"/>
  <c r="K88" i="2"/>
  <c r="L88" i="2"/>
  <c r="I90" i="2"/>
  <c r="J90" i="2"/>
  <c r="K90" i="2"/>
  <c r="I91" i="2"/>
  <c r="J91" i="2"/>
  <c r="K91" i="2"/>
  <c r="I92" i="2"/>
  <c r="J92" i="2"/>
  <c r="K92" i="2"/>
  <c r="I93" i="2"/>
  <c r="J93" i="2"/>
  <c r="K93" i="2"/>
  <c r="H98" i="2"/>
  <c r="I98" i="2"/>
  <c r="J98" i="2"/>
  <c r="K98" i="2"/>
  <c r="L98" i="2"/>
  <c r="I99" i="2"/>
  <c r="J99" i="2"/>
  <c r="K99" i="2"/>
  <c r="L99" i="2"/>
  <c r="I100" i="2"/>
  <c r="J100" i="2"/>
  <c r="K100" i="2"/>
  <c r="L100" i="2"/>
  <c r="I101" i="2"/>
  <c r="J101" i="2"/>
  <c r="K101" i="2"/>
  <c r="L101" i="2"/>
  <c r="H102" i="2"/>
  <c r="I102" i="2"/>
  <c r="J102" i="2"/>
  <c r="K102" i="2"/>
  <c r="L102" i="2"/>
  <c r="I104" i="2"/>
  <c r="J104" i="2"/>
  <c r="K104" i="2"/>
  <c r="L104" i="2"/>
  <c r="H107" i="2"/>
  <c r="I107" i="2"/>
  <c r="J107" i="2"/>
  <c r="K107" i="2"/>
  <c r="L107" i="2"/>
  <c r="I109" i="2"/>
  <c r="J109" i="2"/>
  <c r="K109" i="2"/>
  <c r="L109" i="2"/>
  <c r="I110" i="2"/>
  <c r="J110" i="2"/>
  <c r="K110" i="2"/>
  <c r="L110" i="2"/>
  <c r="I111" i="2"/>
  <c r="J111" i="2"/>
  <c r="K111" i="2"/>
  <c r="L111" i="2"/>
  <c r="H113" i="2"/>
  <c r="I113" i="2"/>
  <c r="J113" i="2"/>
  <c r="K113" i="2"/>
  <c r="L113" i="2"/>
  <c r="H114" i="2"/>
  <c r="I114" i="2"/>
  <c r="J114" i="2"/>
  <c r="K114" i="2"/>
  <c r="L114" i="2"/>
  <c r="H116" i="2"/>
  <c r="I116" i="2"/>
  <c r="J116" i="2"/>
  <c r="K116" i="2"/>
  <c r="L116" i="2"/>
  <c r="I118" i="2"/>
  <c r="J118" i="2"/>
  <c r="K118" i="2"/>
  <c r="L118" i="2"/>
  <c r="H121" i="2"/>
  <c r="I121" i="2"/>
  <c r="J121" i="2"/>
  <c r="K121" i="2"/>
  <c r="L121" i="2"/>
  <c r="H122" i="2"/>
  <c r="I122" i="2"/>
  <c r="J122" i="2"/>
  <c r="K122" i="2"/>
  <c r="L122" i="2"/>
  <c r="H124" i="2"/>
  <c r="I124" i="2"/>
  <c r="J124" i="2"/>
  <c r="K124" i="2"/>
  <c r="L124" i="2"/>
  <c r="I129" i="2"/>
  <c r="J129" i="2"/>
  <c r="K129" i="2"/>
  <c r="I130" i="2"/>
  <c r="J130" i="2"/>
  <c r="K130" i="2"/>
  <c r="I131" i="2"/>
  <c r="J131" i="2"/>
  <c r="K131" i="2"/>
  <c r="I132" i="2"/>
  <c r="J132" i="2"/>
  <c r="K132" i="2"/>
  <c r="I134" i="2"/>
  <c r="J134" i="2"/>
  <c r="K134" i="2"/>
  <c r="I135" i="2"/>
  <c r="J135" i="2"/>
  <c r="K135" i="2"/>
  <c r="I136" i="2"/>
  <c r="J136" i="2"/>
  <c r="K136" i="2"/>
  <c r="I137" i="2"/>
  <c r="J137" i="2"/>
  <c r="K137" i="2"/>
  <c r="I139" i="2"/>
  <c r="J139" i="2"/>
  <c r="K139" i="2"/>
  <c r="I140" i="2"/>
  <c r="J140" i="2"/>
  <c r="K140" i="2"/>
  <c r="I141" i="2"/>
  <c r="J141" i="2"/>
  <c r="K141" i="2"/>
  <c r="I142" i="2"/>
  <c r="J142" i="2"/>
  <c r="K142" i="2"/>
  <c r="I144" i="2"/>
  <c r="J144" i="2"/>
  <c r="K144" i="2"/>
  <c r="I145" i="2"/>
  <c r="J145" i="2"/>
  <c r="K145" i="2"/>
  <c r="I146" i="2"/>
  <c r="J146" i="2"/>
  <c r="K146" i="2"/>
  <c r="I147" i="2"/>
  <c r="J147" i="2"/>
  <c r="K147" i="2"/>
  <c r="I149" i="2"/>
  <c r="J149" i="2"/>
  <c r="K149" i="2"/>
  <c r="I150" i="2"/>
  <c r="J150" i="2"/>
  <c r="K150" i="2"/>
  <c r="I151" i="2"/>
  <c r="J151" i="2"/>
  <c r="K151" i="2"/>
  <c r="I152" i="2"/>
  <c r="J152" i="2"/>
  <c r="K152" i="2"/>
  <c r="I154" i="2"/>
  <c r="J154" i="2"/>
  <c r="K154" i="2"/>
  <c r="L154" i="2"/>
  <c r="I155" i="2"/>
  <c r="J155" i="2"/>
  <c r="K155" i="2"/>
  <c r="L155" i="2"/>
  <c r="J160" i="2"/>
  <c r="K160" i="2"/>
  <c r="L160" i="2"/>
  <c r="I161" i="2"/>
  <c r="J161" i="2"/>
  <c r="K161" i="2"/>
  <c r="L161" i="2"/>
  <c r="I162" i="2"/>
  <c r="J162" i="2"/>
  <c r="K162" i="2"/>
  <c r="L162" i="2"/>
  <c r="I163" i="2"/>
  <c r="J163" i="2"/>
  <c r="K163" i="2"/>
  <c r="L163" i="2"/>
  <c r="I165" i="2"/>
  <c r="J165" i="2"/>
  <c r="K165" i="2"/>
  <c r="I166" i="2"/>
  <c r="J166" i="2"/>
  <c r="K166" i="2"/>
  <c r="I167" i="2"/>
  <c r="J167" i="2"/>
  <c r="K167" i="2"/>
  <c r="I168" i="2"/>
  <c r="J168" i="2"/>
  <c r="K168" i="2"/>
  <c r="I170" i="2"/>
  <c r="J170" i="2"/>
  <c r="K170" i="2"/>
  <c r="L170" i="2"/>
  <c r="I171" i="2"/>
  <c r="J171" i="2"/>
  <c r="K171" i="2"/>
  <c r="L171" i="2"/>
  <c r="I172" i="2"/>
  <c r="J172" i="2"/>
  <c r="K172" i="2"/>
  <c r="L172" i="2"/>
  <c r="I173" i="2"/>
  <c r="J173" i="2"/>
  <c r="K173" i="2"/>
  <c r="I183" i="2"/>
  <c r="J183" i="2"/>
  <c r="K183" i="2"/>
  <c r="L183" i="2"/>
  <c r="H184" i="2"/>
  <c r="I184" i="2"/>
  <c r="J184" i="2"/>
  <c r="K184" i="2"/>
  <c r="L184" i="2"/>
  <c r="H185" i="2"/>
  <c r="I185" i="2"/>
  <c r="J185" i="2"/>
  <c r="K185" i="2"/>
  <c r="L185" i="2"/>
  <c r="H186" i="2"/>
  <c r="I186" i="2"/>
  <c r="J186" i="2"/>
  <c r="K186" i="2"/>
  <c r="L186" i="2"/>
  <c r="H193" i="2"/>
  <c r="I193" i="2"/>
  <c r="J193" i="2"/>
  <c r="K193" i="2"/>
  <c r="L193" i="2"/>
  <c r="I194" i="2"/>
  <c r="J194" i="2"/>
  <c r="K194" i="2"/>
  <c r="L194" i="2"/>
  <c r="I195" i="2"/>
  <c r="J195" i="2"/>
  <c r="K195" i="2"/>
  <c r="L195" i="2"/>
  <c r="I196" i="2"/>
  <c r="J196" i="2"/>
  <c r="K196" i="2"/>
  <c r="L196" i="2"/>
  <c r="H199" i="2"/>
  <c r="I199" i="2"/>
  <c r="J199" i="2"/>
  <c r="K199" i="2"/>
  <c r="L199" i="2"/>
  <c r="I201" i="2"/>
  <c r="J201" i="2"/>
  <c r="K201" i="2"/>
  <c r="L201" i="2"/>
  <c r="I203" i="2"/>
  <c r="J203" i="2"/>
  <c r="K203" i="2"/>
  <c r="L203" i="2"/>
  <c r="H205" i="2"/>
  <c r="I205" i="2"/>
  <c r="J205" i="2"/>
  <c r="K205" i="2"/>
  <c r="L205" i="2"/>
  <c r="I206" i="2"/>
  <c r="J206" i="2"/>
  <c r="K206" i="2"/>
  <c r="L206" i="2"/>
  <c r="H207" i="2"/>
  <c r="I207" i="2"/>
  <c r="J207" i="2"/>
  <c r="K207" i="2"/>
  <c r="L207" i="2"/>
  <c r="H208" i="2"/>
  <c r="I208" i="2"/>
  <c r="J208" i="2"/>
  <c r="K208" i="2"/>
  <c r="L208" i="2"/>
  <c r="H209" i="2"/>
  <c r="I209" i="2"/>
  <c r="J209" i="2"/>
  <c r="K209" i="2"/>
  <c r="L209" i="2"/>
  <c r="I211" i="2"/>
  <c r="J211" i="2"/>
  <c r="K211" i="2"/>
  <c r="L211" i="2"/>
  <c r="H212" i="2"/>
  <c r="I212" i="2"/>
  <c r="J212" i="2"/>
  <c r="K212" i="2"/>
  <c r="L212" i="2"/>
  <c r="H213" i="2"/>
  <c r="I213" i="2"/>
  <c r="J213" i="2"/>
  <c r="K213" i="2"/>
  <c r="L213" i="2"/>
  <c r="H218" i="2"/>
  <c r="I218" i="2"/>
  <c r="J218" i="2"/>
  <c r="K218" i="2"/>
  <c r="L218" i="2"/>
  <c r="I219" i="2"/>
  <c r="J219" i="2"/>
  <c r="K219" i="2"/>
  <c r="L219" i="2"/>
  <c r="I220" i="2"/>
  <c r="J220" i="2"/>
  <c r="K220" i="2"/>
  <c r="L220" i="2"/>
  <c r="H222" i="2"/>
  <c r="I222" i="2"/>
  <c r="J222" i="2"/>
  <c r="K222" i="2"/>
  <c r="L222" i="2"/>
  <c r="I224" i="2"/>
  <c r="J224" i="2"/>
  <c r="K224" i="2"/>
  <c r="L224" i="2"/>
  <c r="H225" i="2"/>
  <c r="I225" i="2"/>
  <c r="J225" i="2"/>
  <c r="K225" i="2"/>
  <c r="L225" i="2"/>
  <c r="H226" i="2"/>
  <c r="I226" i="2"/>
  <c r="J226" i="2"/>
  <c r="K226" i="2"/>
  <c r="L226" i="2"/>
  <c r="I227" i="2"/>
  <c r="J227" i="2"/>
  <c r="K227" i="2"/>
  <c r="L227" i="2"/>
  <c r="H228" i="2"/>
  <c r="I228" i="2"/>
  <c r="J228" i="2"/>
  <c r="K228" i="2"/>
  <c r="L228" i="2"/>
  <c r="H230" i="2"/>
  <c r="I230" i="2"/>
  <c r="J230" i="2"/>
  <c r="K230" i="2"/>
  <c r="L230" i="2"/>
  <c r="I232" i="2"/>
  <c r="J232" i="2"/>
  <c r="K232" i="2"/>
  <c r="L232" i="2"/>
  <c r="I233" i="2"/>
  <c r="J233" i="2"/>
  <c r="K233" i="2"/>
  <c r="L233" i="2"/>
  <c r="H234" i="2"/>
  <c r="I234" i="2"/>
  <c r="J234" i="2"/>
  <c r="K234" i="2"/>
  <c r="L234" i="2"/>
  <c r="H235" i="2"/>
  <c r="I235" i="2"/>
  <c r="J235" i="2"/>
  <c r="K235" i="2"/>
  <c r="L235" i="2"/>
  <c r="H240" i="2"/>
  <c r="I240" i="2"/>
  <c r="J240" i="2"/>
  <c r="K240" i="2"/>
  <c r="L240" i="2"/>
  <c r="H242" i="2"/>
  <c r="I242" i="2"/>
  <c r="J242" i="2"/>
  <c r="K242" i="2"/>
  <c r="L242" i="2"/>
  <c r="H244" i="2"/>
  <c r="I244" i="2"/>
  <c r="J244" i="2"/>
  <c r="K244" i="2"/>
  <c r="L244" i="2"/>
  <c r="H246" i="2"/>
  <c r="I246" i="2"/>
  <c r="J246" i="2"/>
  <c r="K246" i="2"/>
  <c r="L246" i="2"/>
  <c r="H248" i="2"/>
  <c r="I248" i="2"/>
  <c r="J248" i="2"/>
  <c r="K248" i="2"/>
  <c r="L248" i="2"/>
  <c r="H257" i="2"/>
  <c r="I257" i="2"/>
  <c r="J257" i="2"/>
  <c r="K257" i="2"/>
  <c r="L257" i="2"/>
  <c r="H258" i="2"/>
  <c r="I258" i="2"/>
  <c r="J258" i="2"/>
  <c r="K258" i="2"/>
  <c r="L258" i="2"/>
</calcChain>
</file>

<file path=xl/sharedStrings.xml><?xml version="1.0" encoding="utf-8"?>
<sst xmlns="http://schemas.openxmlformats.org/spreadsheetml/2006/main" count="276" uniqueCount="188">
  <si>
    <t>x</t>
  </si>
  <si>
    <t>Current Share Price:</t>
  </si>
  <si>
    <t>Latest Closing Date:</t>
  </si>
  <si>
    <t>Income Statement</t>
  </si>
  <si>
    <t>Gross Profit</t>
  </si>
  <si>
    <t>Less: Research and Development</t>
  </si>
  <si>
    <t>EBIT</t>
  </si>
  <si>
    <t>Less: Interest Expense</t>
  </si>
  <si>
    <t>Plus: Interest Income</t>
  </si>
  <si>
    <t>EBT</t>
  </si>
  <si>
    <t>Net Income</t>
  </si>
  <si>
    <t>Non-GAAP Reconciliation</t>
  </si>
  <si>
    <t>Plus: Stock-Based Compensation</t>
  </si>
  <si>
    <t>Balance Sheet</t>
  </si>
  <si>
    <t>Cash and Cash Equivalents</t>
  </si>
  <si>
    <t>Inventories</t>
  </si>
  <si>
    <t>Accounts Receivable, net</t>
  </si>
  <si>
    <t>Total Assets</t>
  </si>
  <si>
    <t>Accounts Payable</t>
  </si>
  <si>
    <t>Long-Term Debt</t>
  </si>
  <si>
    <t>Other Long-Term Liabilities</t>
  </si>
  <si>
    <t>Total Liabilities</t>
  </si>
  <si>
    <t>Common Stock and APIC</t>
  </si>
  <si>
    <t>Treasury Stock</t>
  </si>
  <si>
    <t>Retained Earnings</t>
  </si>
  <si>
    <t>Check</t>
  </si>
  <si>
    <t>Net Working Capital (NWC)</t>
  </si>
  <si>
    <t>Change in NWC</t>
  </si>
  <si>
    <t>Cash Flow Statement</t>
  </si>
  <si>
    <t>Depreciation and Amortization</t>
  </si>
  <si>
    <t>Stock-Based Compensation</t>
  </si>
  <si>
    <t>(Increase) / Decrease in NWC</t>
  </si>
  <si>
    <t>Capital Expenditures</t>
  </si>
  <si>
    <t>Plus: Net Change in Cash</t>
  </si>
  <si>
    <t>Plus: Capex</t>
  </si>
  <si>
    <t>Less: Depreciation</t>
  </si>
  <si>
    <t>Debt Schedule</t>
  </si>
  <si>
    <t>Less: Minimum Cash Balance</t>
  </si>
  <si>
    <t>Free Cash Flow Build</t>
  </si>
  <si>
    <t>NOPAT</t>
  </si>
  <si>
    <t>Plus: D&amp;A</t>
  </si>
  <si>
    <t>Less: Capex</t>
  </si>
  <si>
    <t>Free Cash Flow to Firm (FCFF)</t>
  </si>
  <si>
    <t>Present Value of FCFF</t>
  </si>
  <si>
    <t>WACC Calculation</t>
  </si>
  <si>
    <t>DCF Valuation</t>
  </si>
  <si>
    <t>Interest Expense</t>
  </si>
  <si>
    <t>Total Debt Balance</t>
  </si>
  <si>
    <t>Pre-Tax Cost of Debt</t>
  </si>
  <si>
    <t>After-Tax Cost of Debt (kd)</t>
  </si>
  <si>
    <t>Risk-Free Rate (rf)</t>
  </si>
  <si>
    <t>Equity Risk Premium (ERP)</t>
  </si>
  <si>
    <t>Cost of Equity (ke)</t>
  </si>
  <si>
    <t>Total Capitalization</t>
  </si>
  <si>
    <t>WACC</t>
  </si>
  <si>
    <t>Less: Mandatory Repayment</t>
  </si>
  <si>
    <t>Less: Optional Repayment</t>
  </si>
  <si>
    <t>Interest Income</t>
  </si>
  <si>
    <t>Other Long-Term Assets</t>
  </si>
  <si>
    <t>NVIDIA Corporation (NASDAQ: NVDA)</t>
  </si>
  <si>
    <t>Case Toggle (1 → 3):</t>
  </si>
  <si>
    <t>Active Case:</t>
  </si>
  <si>
    <t>Total Revenue</t>
  </si>
  <si>
    <t>Less: Cost of Revenue</t>
  </si>
  <si>
    <t>Plus: Other Income / Expense, net</t>
  </si>
  <si>
    <t>Less: Income Tax</t>
  </si>
  <si>
    <t>Tax Rate, %</t>
  </si>
  <si>
    <t>Revenue Growth Analysis</t>
  </si>
  <si>
    <t>Gaming Revenue</t>
  </si>
  <si>
    <t>Y/Y Growth in Gaming Revenue, %</t>
  </si>
  <si>
    <t>Base Case</t>
  </si>
  <si>
    <t>Upside Case</t>
  </si>
  <si>
    <t>Downside Case</t>
  </si>
  <si>
    <t>Data Center Revenue</t>
  </si>
  <si>
    <t>Y/Y Growth in Data Center Revenue, %</t>
  </si>
  <si>
    <t>Professional Visualization Revenue</t>
  </si>
  <si>
    <t>Y/Y Growth in Professional Visualization Revenue, %</t>
  </si>
  <si>
    <t>Automotive Revenue</t>
  </si>
  <si>
    <t>Y/Y Growth in Automotive Revenue, %</t>
  </si>
  <si>
    <t>OEM and Other Revenue</t>
  </si>
  <si>
    <t>Y/Y Growth in OEM and Other Revenue, %</t>
  </si>
  <si>
    <t>Y/Y Growth in Total Revenue, %</t>
  </si>
  <si>
    <t>Margin Analysis</t>
  </si>
  <si>
    <t>Gross Margin, %</t>
  </si>
  <si>
    <t>R&amp;D Margin, %</t>
  </si>
  <si>
    <t>SG&amp;A Margin, %</t>
  </si>
  <si>
    <t>SBC % of Revenue</t>
  </si>
  <si>
    <t>Adjusted EBIT</t>
  </si>
  <si>
    <t>Adjusted EBITDA</t>
  </si>
  <si>
    <t>Non-GAAP EBITDA Margin, %</t>
  </si>
  <si>
    <t>Prepaid Expenses</t>
  </si>
  <si>
    <t>Total Current Assets</t>
  </si>
  <si>
    <t>PP&amp;E, net</t>
  </si>
  <si>
    <t>Intangible Assets and Goodwill</t>
  </si>
  <si>
    <t>Accrued Liabilities</t>
  </si>
  <si>
    <t>Total Current Liabilities</t>
  </si>
  <si>
    <t>Commercial Paper</t>
  </si>
  <si>
    <t>Other Comprehensive Income (OCI)</t>
  </si>
  <si>
    <t>Total Liabilities and Equity</t>
  </si>
  <si>
    <t>Days Sales Outstanding (DSO)</t>
  </si>
  <si>
    <t>Days Inventory Outstanding (DIO)</t>
  </si>
  <si>
    <t>Prepaid Expenses % of Revenue</t>
  </si>
  <si>
    <t>Days Payable Outstanding (DPO)</t>
  </si>
  <si>
    <t>Accrued Liabilities % of SG&amp;A</t>
  </si>
  <si>
    <t>NA</t>
  </si>
  <si>
    <t>PP&amp;E, BoP</t>
  </si>
  <si>
    <t>PP&amp;E, EoP</t>
  </si>
  <si>
    <t>Capex % of Revenue</t>
  </si>
  <si>
    <t>Depreciation % of Capex</t>
  </si>
  <si>
    <t>Intangibles, BoP</t>
  </si>
  <si>
    <t>Less: Amortization of Intangibles</t>
  </si>
  <si>
    <t>Less: Goodwill Impairment</t>
  </si>
  <si>
    <t>Intangibles, EoP</t>
  </si>
  <si>
    <t>Retained Earnings Schedule</t>
  </si>
  <si>
    <t>Retained Earnings, BoP</t>
  </si>
  <si>
    <t>Plus: Net Income</t>
  </si>
  <si>
    <t>Less: Dividends</t>
  </si>
  <si>
    <t>Retained Earnings, EoP</t>
  </si>
  <si>
    <t>Dividend Payout Ratio, %</t>
  </si>
  <si>
    <t>Change in Other Long-Term Assets</t>
  </si>
  <si>
    <t>Change in Other Long-Term Liabilities</t>
  </si>
  <si>
    <t>Cash Flow from Operating Activities (CFO)</t>
  </si>
  <si>
    <t>Other Investing Activities</t>
  </si>
  <si>
    <t>Cash Flow from Investing Activities (CFI)</t>
  </si>
  <si>
    <t>Commercial Paper Borrowing / (Repayment)</t>
  </si>
  <si>
    <t>Mandatory Debt Repayment</t>
  </si>
  <si>
    <t>Optional Debt Repayment</t>
  </si>
  <si>
    <t>Dividend Issuances</t>
  </si>
  <si>
    <t>Cash Flow from Financing Activities (CFF)</t>
  </si>
  <si>
    <t>Cash, BoP</t>
  </si>
  <si>
    <t>Cash, EoP</t>
  </si>
  <si>
    <t>FCF, Pre-Debt Repayment</t>
  </si>
  <si>
    <t>Plus: Beginning Cash Balance</t>
  </si>
  <si>
    <t>FCF, Pre-Commercial Paper</t>
  </si>
  <si>
    <t>Commercial Paper, BoP</t>
  </si>
  <si>
    <t>Plus: Borrowing / (Repayment)</t>
  </si>
  <si>
    <t>Commercial Paper, EOP</t>
  </si>
  <si>
    <t>Unused Amount, BoP</t>
  </si>
  <si>
    <t>Unused Amount, EoP</t>
  </si>
  <si>
    <t>FCF, Pre-Optional Repayment</t>
  </si>
  <si>
    <t>Long-Term Debt, BoP</t>
  </si>
  <si>
    <t>Long-Term Debt, EoP</t>
  </si>
  <si>
    <t>Interest Expense Schedule</t>
  </si>
  <si>
    <t>Commercial Paper Interest Expense</t>
  </si>
  <si>
    <t>CP Interest Rate, %</t>
  </si>
  <si>
    <t>Plus: Long-Term Debt Interest Expense</t>
  </si>
  <si>
    <t>LT Debt Interest Rate, %</t>
  </si>
  <si>
    <t>Cash Interest Rate, %</t>
  </si>
  <si>
    <t>Earnings Per Share (EPS) Schedule</t>
  </si>
  <si>
    <t>Basic Shares Outstanding</t>
  </si>
  <si>
    <t>Diluted Shares Outstanding</t>
  </si>
  <si>
    <t>Net Differential</t>
  </si>
  <si>
    <t>Basic EPS</t>
  </si>
  <si>
    <t>Diluted EPS</t>
  </si>
  <si>
    <t>Less: Increase in NWC</t>
  </si>
  <si>
    <t>FCFF Growth Rate, %</t>
  </si>
  <si>
    <t>Sensitivity Analysis</t>
  </si>
  <si>
    <t>Cost of Debt Calculation</t>
  </si>
  <si>
    <t>Terminal Growth Rate, %</t>
  </si>
  <si>
    <t>Total Debt</t>
  </si>
  <si>
    <t>Effective Tax Rate, %</t>
  </si>
  <si>
    <t>WACC, %</t>
  </si>
  <si>
    <t>Capital Asset Pricing Model (CAPM)</t>
  </si>
  <si>
    <t>Beta (β), 5Y</t>
  </si>
  <si>
    <t>Debt + Equity Weights</t>
  </si>
  <si>
    <t>($)</t>
  </si>
  <si>
    <t>(%)</t>
  </si>
  <si>
    <t>Market Value of Equity</t>
  </si>
  <si>
    <t>Sum of Projected FCFF (Stage 1)</t>
  </si>
  <si>
    <t>2027 FCFF x (1 + g)</t>
  </si>
  <si>
    <t>PV of Terminal Value (Stage 2)</t>
  </si>
  <si>
    <t>Less: Net Debt</t>
  </si>
  <si>
    <t>% Premium / (Discount)</t>
  </si>
  <si>
    <t>($ in millions)</t>
  </si>
  <si>
    <t>Plus: Rental Expense</t>
  </si>
  <si>
    <t>Adjusted EBITDAR</t>
  </si>
  <si>
    <t>Circularity Switch:</t>
  </si>
  <si>
    <t>Total Enterprise Value (TEV)</t>
  </si>
  <si>
    <t>Implied Share Price</t>
  </si>
  <si>
    <t>Equity Value</t>
  </si>
  <si>
    <t>Terminal Value (TV) in Final Year</t>
  </si>
  <si>
    <t>Less: Taxes</t>
  </si>
  <si>
    <t>Discount Factor (Mid-Year Convention)</t>
  </si>
  <si>
    <t>Less: Sales, General &amp; Administrative</t>
  </si>
  <si>
    <t>Tax Rate, %:</t>
  </si>
  <si>
    <t>PP&amp;E and Intangibles Forecast</t>
  </si>
  <si>
    <t>Working Capital Forecast</t>
  </si>
  <si>
    <t>Non-GAAP EBIT Margin,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</si>
</sst>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OFF&quot;_);&quot;OFF&quot;_);&quot;ON&quot;_)"/>
    <numFmt numFmtId="165" formatCode="mm/dd/yy_)"/>
    <numFmt numFmtId="166" formatCode="yyyy&quot;A&quot;_)"/>
    <numFmt numFmtId="167" formatCode="yyyy&quot;E&quot;_)"/>
    <numFmt numFmtId="168" formatCode="0\ &quot;Days&quot;_)"/>
    <numFmt numFmtId="169" formatCode="#,##0_);\(#,##0\);\–_);@_)"/>
    <numFmt numFmtId="170" formatCode="&quot;$&quot;#,##0.00_);\(&quot;$&quot;#,##0.00\);\–_);@_)"/>
    <numFmt numFmtId="171" formatCode="&quot;$&quot;#,##0_);\(&quot;$&quot;#,##0\);\–_);@_)"/>
    <numFmt numFmtId="172" formatCode="#,##0.0%_);\(#,##0.0%\);\–_);@_)"/>
    <numFmt numFmtId="173" formatCode=";;;"/>
    <numFmt numFmtId="174" formatCode="#,##0.00_);\(#,##0.00\);\–_);@_)"/>
    <numFmt numFmtId="175" formatCode="0.0%_);\(0.0%\);0.0%_);@_)"/>
    <numFmt numFmtId="176" formatCode="#,##0.0_);\(#,##0.0\);\-\-_);@_)"/>
  </numFmts>
  <fonts count="27" x14ac:knownFonts="1"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rgb="FF9C0006"/>
      <name val="Arial"/>
      <family val="2"/>
      <scheme val="minor"/>
    </font>
    <font>
      <sz val="10"/>
      <color rgb="FF006100"/>
      <name val="Arial"/>
      <family val="2"/>
      <scheme val="minor"/>
    </font>
    <font>
      <sz val="10"/>
      <color rgb="FF9C57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3F3F76"/>
      <name val="Arial"/>
      <family val="2"/>
      <scheme val="minor"/>
    </font>
    <font>
      <sz val="10"/>
      <color rgb="FFFA7D00"/>
      <name val="Arial"/>
      <family val="2"/>
      <scheme val="minor"/>
    </font>
    <font>
      <i/>
      <sz val="10"/>
      <color rgb="FF7F7F7F"/>
      <name val="Arial"/>
      <family val="2"/>
    </font>
    <font>
      <b/>
      <sz val="10"/>
      <color rgb="FFFA7D00"/>
      <name val="Perpetua"/>
      <family val="1"/>
    </font>
    <font>
      <b/>
      <i/>
      <sz val="16"/>
      <color theme="10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FF"/>
      <name val="Arial"/>
      <family val="2"/>
      <scheme val="minor"/>
    </font>
    <font>
      <b/>
      <sz val="10"/>
      <color rgb="FF0000FF"/>
      <name val="Arial"/>
      <family val="2"/>
      <scheme val="minor"/>
    </font>
    <font>
      <sz val="10"/>
      <color rgb="FF111111"/>
      <name val="Arial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u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3333FF"/>
      <name val="Arial"/>
      <family val="2"/>
      <scheme val="minor"/>
    </font>
    <font>
      <sz val="10"/>
      <color rgb="FF0066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DFE9F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6" fillId="2" borderId="1" applyNumberFormat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5" borderId="0" applyNumberFormat="0" applyBorder="0" applyAlignment="0" applyProtection="0"/>
    <xf numFmtId="0" fontId="8" fillId="6" borderId="2" applyNumberFormat="0" applyAlignment="0" applyProtection="0"/>
    <xf numFmtId="0" fontId="11" fillId="7" borderId="2" applyNumberFormat="0" applyAlignment="0" applyProtection="0"/>
    <xf numFmtId="0" fontId="9" fillId="0" borderId="3" applyNumberFormat="0" applyFill="0" applyAlignment="0" applyProtection="0"/>
    <xf numFmtId="0" fontId="7" fillId="8" borderId="4" applyNumberFormat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74">
    <xf numFmtId="0" fontId="0" fillId="0" borderId="0" xfId="0"/>
    <xf numFmtId="169" fontId="14" fillId="0" borderId="0" xfId="0" applyNumberFormat="1" applyFont="1" applyAlignment="1">
      <alignment horizontal="left"/>
    </xf>
    <xf numFmtId="169" fontId="13" fillId="0" borderId="0" xfId="0" applyNumberFormat="1" applyFont="1" applyAlignment="1">
      <alignment horizontal="center"/>
    </xf>
    <xf numFmtId="0" fontId="13" fillId="0" borderId="5" xfId="0" applyFont="1" applyBorder="1" applyAlignment="1">
      <alignment horizontal="left"/>
    </xf>
    <xf numFmtId="170" fontId="16" fillId="0" borderId="6" xfId="0" applyNumberFormat="1" applyFont="1" applyBorder="1" applyAlignment="1">
      <alignment horizontal="center"/>
    </xf>
    <xf numFmtId="164" fontId="16" fillId="0" borderId="6" xfId="0" applyNumberFormat="1" applyFont="1" applyBorder="1" applyAlignment="1">
      <alignment horizontal="center"/>
    </xf>
    <xf numFmtId="165" fontId="16" fillId="0" borderId="6" xfId="0" applyNumberFormat="1" applyFont="1" applyBorder="1" applyAlignment="1">
      <alignment horizontal="center"/>
    </xf>
    <xf numFmtId="169" fontId="13" fillId="0" borderId="0" xfId="0" applyNumberFormat="1" applyFont="1" applyAlignment="1">
      <alignment horizontal="left"/>
    </xf>
    <xf numFmtId="169" fontId="16" fillId="0" borderId="6" xfId="0" applyNumberFormat="1" applyFont="1" applyBorder="1" applyAlignment="1">
      <alignment horizontal="center"/>
    </xf>
    <xf numFmtId="171" fontId="14" fillId="0" borderId="0" xfId="0" applyNumberFormat="1" applyFont="1" applyAlignment="1">
      <alignment horizontal="right"/>
    </xf>
    <xf numFmtId="171" fontId="15" fillId="0" borderId="0" xfId="0" applyNumberFormat="1" applyFont="1" applyAlignment="1">
      <alignment horizontal="right"/>
    </xf>
    <xf numFmtId="169" fontId="16" fillId="0" borderId="0" xfId="0" applyNumberFormat="1" applyFont="1" applyAlignment="1">
      <alignment horizontal="right"/>
    </xf>
    <xf numFmtId="169" fontId="14" fillId="0" borderId="5" xfId="0" applyNumberFormat="1" applyFont="1" applyBorder="1" applyAlignment="1">
      <alignment horizontal="left"/>
    </xf>
    <xf numFmtId="171" fontId="15" fillId="0" borderId="5" xfId="0" applyNumberFormat="1" applyFont="1" applyBorder="1" applyAlignment="1">
      <alignment horizontal="right"/>
    </xf>
    <xf numFmtId="172" fontId="16" fillId="0" borderId="6" xfId="0" applyNumberFormat="1" applyFont="1" applyBorder="1" applyAlignment="1">
      <alignment horizontal="center"/>
    </xf>
    <xf numFmtId="169" fontId="15" fillId="0" borderId="0" xfId="0" applyNumberFormat="1" applyFont="1" applyAlignment="1">
      <alignment horizontal="right"/>
    </xf>
    <xf numFmtId="171" fontId="17" fillId="0" borderId="0" xfId="0" applyNumberFormat="1" applyFont="1" applyAlignment="1">
      <alignment horizontal="right"/>
    </xf>
    <xf numFmtId="169" fontId="15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169" fontId="15" fillId="0" borderId="5" xfId="0" applyNumberFormat="1" applyFont="1" applyBorder="1" applyAlignment="1">
      <alignment horizontal="right"/>
    </xf>
    <xf numFmtId="169" fontId="13" fillId="0" borderId="0" xfId="0" applyNumberFormat="1" applyFont="1" applyAlignment="1">
      <alignment horizontal="right"/>
    </xf>
    <xf numFmtId="169" fontId="18" fillId="0" borderId="0" xfId="0" applyNumberFormat="1" applyFont="1" applyAlignment="1">
      <alignment horizontal="right"/>
    </xf>
    <xf numFmtId="169" fontId="15" fillId="0" borderId="5" xfId="0" applyNumberFormat="1" applyFont="1" applyBorder="1" applyAlignment="1">
      <alignment horizontal="left"/>
    </xf>
    <xf numFmtId="169" fontId="15" fillId="0" borderId="0" xfId="0" quotePrefix="1" applyNumberFormat="1" applyFont="1" applyAlignment="1">
      <alignment horizontal="right"/>
    </xf>
    <xf numFmtId="171" fontId="16" fillId="0" borderId="14" xfId="0" applyNumberFormat="1" applyFont="1" applyBorder="1" applyAlignment="1">
      <alignment horizontal="center"/>
    </xf>
    <xf numFmtId="169" fontId="14" fillId="0" borderId="5" xfId="0" applyNumberFormat="1" applyFont="1" applyBorder="1" applyAlignment="1">
      <alignment horizontal="center"/>
    </xf>
    <xf numFmtId="169" fontId="14" fillId="0" borderId="0" xfId="0" applyNumberFormat="1" applyFont="1" applyAlignment="1">
      <alignment horizontal="center"/>
    </xf>
    <xf numFmtId="171" fontId="16" fillId="0" borderId="6" xfId="0" applyNumberFormat="1" applyFont="1" applyBorder="1" applyAlignment="1">
      <alignment horizontal="center"/>
    </xf>
    <xf numFmtId="172" fontId="16" fillId="0" borderId="14" xfId="0" applyNumberFormat="1" applyFont="1" applyBorder="1" applyAlignment="1">
      <alignment horizontal="center"/>
    </xf>
    <xf numFmtId="169" fontId="16" fillId="0" borderId="0" xfId="0" applyNumberFormat="1" applyFont="1" applyAlignment="1">
      <alignment horizontal="center"/>
    </xf>
    <xf numFmtId="169" fontId="14" fillId="9" borderId="0" xfId="0" applyNumberFormat="1" applyFont="1" applyFill="1" applyAlignment="1">
      <alignment horizontal="left"/>
    </xf>
    <xf numFmtId="169" fontId="14" fillId="9" borderId="0" xfId="0" applyNumberFormat="1" applyFont="1" applyFill="1" applyAlignment="1">
      <alignment horizontal="right"/>
    </xf>
    <xf numFmtId="169" fontId="14" fillId="0" borderId="15" xfId="0" applyNumberFormat="1" applyFont="1" applyBorder="1" applyAlignment="1">
      <alignment horizontal="left"/>
    </xf>
    <xf numFmtId="169" fontId="13" fillId="0" borderId="5" xfId="0" applyNumberFormat="1" applyFont="1" applyBorder="1" applyAlignment="1">
      <alignment horizontal="left"/>
    </xf>
    <xf numFmtId="169" fontId="13" fillId="0" borderId="5" xfId="0" applyNumberFormat="1" applyFont="1" applyBorder="1" applyAlignment="1">
      <alignment horizontal="center"/>
    </xf>
    <xf numFmtId="169" fontId="21" fillId="9" borderId="0" xfId="0" applyNumberFormat="1" applyFont="1" applyFill="1" applyAlignment="1">
      <alignment horizontal="left"/>
    </xf>
    <xf numFmtId="169" fontId="19" fillId="0" borderId="0" xfId="0" applyNumberFormat="1" applyFont="1"/>
    <xf numFmtId="169" fontId="21" fillId="9" borderId="0" xfId="0" applyNumberFormat="1" applyFont="1" applyFill="1"/>
    <xf numFmtId="169" fontId="20" fillId="0" borderId="0" xfId="0" applyNumberFormat="1" applyFont="1"/>
    <xf numFmtId="169" fontId="19" fillId="0" borderId="5" xfId="0" applyNumberFormat="1" applyFont="1" applyBorder="1"/>
    <xf numFmtId="171" fontId="19" fillId="0" borderId="5" xfId="0" applyNumberFormat="1" applyFont="1" applyBorder="1"/>
    <xf numFmtId="169" fontId="20" fillId="9" borderId="0" xfId="0" applyNumberFormat="1" applyFont="1" applyFill="1"/>
    <xf numFmtId="169" fontId="21" fillId="9" borderId="0" xfId="0" applyNumberFormat="1" applyFont="1" applyFill="1" applyAlignment="1">
      <alignment horizontal="centerContinuous"/>
    </xf>
    <xf numFmtId="169" fontId="19" fillId="0" borderId="0" xfId="0" applyNumberFormat="1" applyFont="1" applyAlignment="1">
      <alignment horizontal="centerContinuous"/>
    </xf>
    <xf numFmtId="172" fontId="22" fillId="10" borderId="6" xfId="0" applyNumberFormat="1" applyFont="1" applyFill="1" applyBorder="1" applyAlignment="1">
      <alignment horizontal="center"/>
    </xf>
    <xf numFmtId="172" fontId="19" fillId="0" borderId="5" xfId="0" applyNumberFormat="1" applyFont="1" applyBorder="1"/>
    <xf numFmtId="169" fontId="24" fillId="0" borderId="0" xfId="0" applyNumberFormat="1" applyFont="1"/>
    <xf numFmtId="172" fontId="22" fillId="0" borderId="0" xfId="0" applyNumberFormat="1" applyFont="1"/>
    <xf numFmtId="174" fontId="22" fillId="0" borderId="0" xfId="0" applyNumberFormat="1" applyFont="1"/>
    <xf numFmtId="171" fontId="22" fillId="0" borderId="0" xfId="0" applyNumberFormat="1" applyFont="1" applyAlignment="1">
      <alignment horizontal="right"/>
    </xf>
    <xf numFmtId="171" fontId="19" fillId="0" borderId="5" xfId="0" applyNumberFormat="1" applyFont="1" applyBorder="1" applyAlignment="1">
      <alignment horizontal="right"/>
    </xf>
    <xf numFmtId="172" fontId="22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7" fontId="14" fillId="0" borderId="7" xfId="0" applyNumberFormat="1" applyFont="1" applyBorder="1" applyAlignment="1">
      <alignment horizontal="right"/>
    </xf>
    <xf numFmtId="169" fontId="13" fillId="0" borderId="7" xfId="0" applyNumberFormat="1" applyFont="1" applyBorder="1" applyAlignment="1">
      <alignment horizontal="left"/>
    </xf>
    <xf numFmtId="171" fontId="14" fillId="0" borderId="18" xfId="0" applyNumberFormat="1" applyFont="1" applyBorder="1" applyAlignment="1">
      <alignment horizontal="right"/>
    </xf>
    <xf numFmtId="169" fontId="16" fillId="0" borderId="18" xfId="0" applyNumberFormat="1" applyFont="1" applyBorder="1" applyAlignment="1">
      <alignment horizontal="right"/>
    </xf>
    <xf numFmtId="171" fontId="15" fillId="0" borderId="17" xfId="0" applyNumberFormat="1" applyFont="1" applyBorder="1" applyAlignment="1">
      <alignment horizontal="right"/>
    </xf>
    <xf numFmtId="169" fontId="13" fillId="0" borderId="17" xfId="0" applyNumberFormat="1" applyFont="1" applyBorder="1" applyAlignment="1">
      <alignment horizontal="center"/>
    </xf>
    <xf numFmtId="171" fontId="17" fillId="0" borderId="18" xfId="0" applyNumberFormat="1" applyFont="1" applyBorder="1" applyAlignment="1">
      <alignment horizontal="right"/>
    </xf>
    <xf numFmtId="171" fontId="15" fillId="0" borderId="18" xfId="0" applyNumberFormat="1" applyFont="1" applyBorder="1" applyAlignment="1">
      <alignment horizontal="right"/>
    </xf>
    <xf numFmtId="169" fontId="15" fillId="0" borderId="18" xfId="0" applyNumberFormat="1" applyFont="1" applyBorder="1" applyAlignment="1">
      <alignment horizontal="right"/>
    </xf>
    <xf numFmtId="171" fontId="16" fillId="0" borderId="18" xfId="0" applyNumberFormat="1" applyFont="1" applyBorder="1" applyAlignment="1">
      <alignment horizontal="right"/>
    </xf>
    <xf numFmtId="169" fontId="15" fillId="0" borderId="17" xfId="0" applyNumberFormat="1" applyFont="1" applyBorder="1" applyAlignment="1">
      <alignment horizontal="right"/>
    </xf>
    <xf numFmtId="169" fontId="0" fillId="0" borderId="0" xfId="0" applyNumberFormat="1" applyAlignment="1">
      <alignment horizontal="left"/>
    </xf>
    <xf numFmtId="169" fontId="0" fillId="0" borderId="0" xfId="0" applyNumberFormat="1" applyAlignment="1">
      <alignment horizontal="right"/>
    </xf>
    <xf numFmtId="175" fontId="0" fillId="0" borderId="18" xfId="0" applyNumberFormat="1" applyBorder="1" applyAlignment="1">
      <alignment horizontal="right"/>
    </xf>
    <xf numFmtId="172" fontId="13" fillId="0" borderId="7" xfId="0" applyNumberFormat="1" applyFont="1" applyBorder="1" applyAlignment="1">
      <alignment horizontal="right"/>
    </xf>
    <xf numFmtId="172" fontId="13" fillId="0" borderId="19" xfId="0" applyNumberFormat="1" applyFont="1" applyBorder="1" applyAlignment="1">
      <alignment horizontal="right"/>
    </xf>
    <xf numFmtId="169" fontId="0" fillId="0" borderId="18" xfId="0" applyNumberFormat="1" applyBorder="1" applyAlignment="1">
      <alignment horizontal="right"/>
    </xf>
    <xf numFmtId="172" fontId="16" fillId="0" borderId="10" xfId="0" applyNumberFormat="1" applyFont="1" applyBorder="1" applyAlignment="1">
      <alignment horizontal="right"/>
    </xf>
    <xf numFmtId="172" fontId="13" fillId="0" borderId="11" xfId="0" applyNumberFormat="1" applyFont="1" applyBorder="1" applyAlignment="1">
      <alignment horizontal="right"/>
    </xf>
    <xf numFmtId="172" fontId="16" fillId="0" borderId="11" xfId="0" applyNumberFormat="1" applyFont="1" applyBorder="1" applyAlignment="1">
      <alignment horizontal="right"/>
    </xf>
    <xf numFmtId="172" fontId="16" fillId="0" borderId="12" xfId="0" applyNumberFormat="1" applyFont="1" applyBorder="1" applyAlignment="1">
      <alignment horizontal="right"/>
    </xf>
    <xf numFmtId="172" fontId="0" fillId="0" borderId="7" xfId="0" applyNumberFormat="1" applyBorder="1" applyAlignment="1">
      <alignment horizontal="right"/>
    </xf>
    <xf numFmtId="172" fontId="0" fillId="0" borderId="19" xfId="0" applyNumberFormat="1" applyBorder="1" applyAlignment="1">
      <alignment horizontal="right"/>
    </xf>
    <xf numFmtId="169" fontId="14" fillId="0" borderId="7" xfId="0" applyNumberFormat="1" applyFont="1" applyBorder="1" applyAlignment="1">
      <alignment horizontal="left"/>
    </xf>
    <xf numFmtId="172" fontId="15" fillId="0" borderId="7" xfId="0" applyNumberFormat="1" applyFont="1" applyBorder="1" applyAlignment="1">
      <alignment horizontal="right"/>
    </xf>
    <xf numFmtId="172" fontId="15" fillId="0" borderId="19" xfId="0" applyNumberFormat="1" applyFont="1" applyBorder="1" applyAlignment="1">
      <alignment horizontal="right"/>
    </xf>
    <xf numFmtId="172" fontId="14" fillId="0" borderId="7" xfId="0" applyNumberFormat="1" applyFont="1" applyBorder="1" applyAlignment="1">
      <alignment horizontal="right"/>
    </xf>
    <xf numFmtId="172" fontId="16" fillId="0" borderId="1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0" fillId="0" borderId="18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18" xfId="0" applyNumberFormat="1" applyBorder="1" applyAlignment="1">
      <alignment horizontal="right"/>
    </xf>
    <xf numFmtId="169" fontId="13" fillId="0" borderId="18" xfId="0" applyNumberFormat="1" applyFont="1" applyBorder="1" applyAlignment="1">
      <alignment horizontal="right"/>
    </xf>
    <xf numFmtId="169" fontId="15" fillId="0" borderId="7" xfId="0" applyNumberFormat="1" applyFont="1" applyBorder="1" applyAlignment="1">
      <alignment horizontal="right"/>
    </xf>
    <xf numFmtId="168" fontId="15" fillId="0" borderId="7" xfId="0" applyNumberFormat="1" applyFont="1" applyBorder="1" applyAlignment="1">
      <alignment horizontal="right"/>
    </xf>
    <xf numFmtId="168" fontId="15" fillId="0" borderId="19" xfId="0" applyNumberFormat="1" applyFont="1" applyBorder="1" applyAlignment="1">
      <alignment horizontal="right"/>
    </xf>
    <xf numFmtId="168" fontId="14" fillId="0" borderId="7" xfId="0" applyNumberFormat="1" applyFont="1" applyBorder="1" applyAlignment="1">
      <alignment horizontal="right"/>
    </xf>
    <xf numFmtId="168" fontId="16" fillId="0" borderId="10" xfId="0" applyNumberFormat="1" applyFont="1" applyBorder="1" applyAlignment="1">
      <alignment horizontal="right"/>
    </xf>
    <xf numFmtId="168" fontId="13" fillId="0" borderId="11" xfId="0" applyNumberFormat="1" applyFont="1" applyBorder="1" applyAlignment="1">
      <alignment horizontal="right"/>
    </xf>
    <xf numFmtId="168" fontId="16" fillId="0" borderId="11" xfId="0" applyNumberFormat="1" applyFont="1" applyBorder="1" applyAlignment="1">
      <alignment horizontal="right"/>
    </xf>
    <xf numFmtId="168" fontId="16" fillId="0" borderId="12" xfId="0" applyNumberFormat="1" applyFont="1" applyBorder="1" applyAlignment="1">
      <alignment horizontal="right"/>
    </xf>
    <xf numFmtId="168" fontId="13" fillId="0" borderId="13" xfId="0" applyNumberFormat="1" applyFont="1" applyBorder="1" applyAlignment="1">
      <alignment horizontal="right"/>
    </xf>
    <xf numFmtId="168" fontId="16" fillId="0" borderId="13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72" fontId="13" fillId="0" borderId="13" xfId="0" applyNumberFormat="1" applyFont="1" applyBorder="1" applyAlignment="1">
      <alignment horizontal="right"/>
    </xf>
    <xf numFmtId="171" fontId="15" fillId="0" borderId="7" xfId="0" applyNumberFormat="1" applyFont="1" applyBorder="1" applyAlignment="1">
      <alignment horizontal="right"/>
    </xf>
    <xf numFmtId="171" fontId="15" fillId="0" borderId="19" xfId="0" applyNumberFormat="1" applyFont="1" applyBorder="1" applyAlignment="1">
      <alignment horizontal="right"/>
    </xf>
    <xf numFmtId="172" fontId="14" fillId="0" borderId="19" xfId="0" applyNumberFormat="1" applyFont="1" applyBorder="1" applyAlignment="1">
      <alignment horizontal="right"/>
    </xf>
    <xf numFmtId="172" fontId="16" fillId="0" borderId="0" xfId="0" applyNumberFormat="1" applyFont="1" applyAlignment="1">
      <alignment horizontal="right"/>
    </xf>
    <xf numFmtId="169" fontId="13" fillId="0" borderId="17" xfId="0" applyNumberFormat="1" applyFont="1" applyBorder="1" applyAlignment="1">
      <alignment horizontal="right"/>
    </xf>
    <xf numFmtId="170" fontId="0" fillId="0" borderId="0" xfId="0" applyNumberFormat="1" applyAlignment="1">
      <alignment horizontal="right"/>
    </xf>
    <xf numFmtId="170" fontId="0" fillId="0" borderId="18" xfId="0" applyNumberFormat="1" applyBorder="1" applyAlignment="1">
      <alignment horizontal="right"/>
    </xf>
    <xf numFmtId="169" fontId="13" fillId="0" borderId="6" xfId="0" applyNumberFormat="1" applyFont="1" applyBorder="1" applyAlignment="1">
      <alignment horizontal="center"/>
    </xf>
    <xf numFmtId="169" fontId="0" fillId="0" borderId="5" xfId="0" applyNumberFormat="1" applyBorder="1"/>
    <xf numFmtId="169" fontId="0" fillId="0" borderId="0" xfId="0" applyNumberFormat="1"/>
    <xf numFmtId="169" fontId="15" fillId="0" borderId="0" xfId="0" applyNumberFormat="1" applyFont="1"/>
    <xf numFmtId="169" fontId="0" fillId="0" borderId="18" xfId="0" applyNumberFormat="1" applyBorder="1"/>
    <xf numFmtId="169" fontId="14" fillId="0" borderId="0" xfId="0" applyNumberFormat="1" applyFont="1"/>
    <xf numFmtId="171" fontId="15" fillId="0" borderId="5" xfId="0" applyNumberFormat="1" applyFont="1" applyBorder="1"/>
    <xf numFmtId="169" fontId="13" fillId="0" borderId="0" xfId="0" applyNumberFormat="1" applyFont="1"/>
    <xf numFmtId="166" fontId="14" fillId="0" borderId="19" xfId="0" applyNumberFormat="1" applyFont="1" applyBorder="1" applyAlignment="1">
      <alignment horizontal="righ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169" fontId="2" fillId="0" borderId="7" xfId="0" applyNumberFormat="1" applyFont="1" applyBorder="1"/>
    <xf numFmtId="169" fontId="2" fillId="0" borderId="0" xfId="0" applyNumberFormat="1" applyFont="1"/>
    <xf numFmtId="167" fontId="21" fillId="0" borderId="7" xfId="0" applyNumberFormat="1" applyFont="1" applyBorder="1" applyAlignment="1">
      <alignment horizontal="right"/>
    </xf>
    <xf numFmtId="169" fontId="23" fillId="10" borderId="0" xfId="0" applyNumberFormat="1" applyFont="1" applyFill="1"/>
    <xf numFmtId="172" fontId="22" fillId="0" borderId="5" xfId="0" applyNumberFormat="1" applyFont="1" applyBorder="1"/>
    <xf numFmtId="169" fontId="2" fillId="10" borderId="0" xfId="0" applyNumberFormat="1" applyFont="1" applyFill="1" applyAlignment="1">
      <alignment horizontal="right"/>
    </xf>
    <xf numFmtId="0" fontId="13" fillId="0" borderId="0" xfId="0" applyFont="1" applyAlignment="1">
      <alignment horizontal="left"/>
    </xf>
    <xf numFmtId="49" fontId="20" fillId="0" borderId="0" xfId="0" applyNumberFormat="1" applyFont="1" applyAlignment="1">
      <alignment horizontal="left"/>
    </xf>
    <xf numFmtId="169" fontId="21" fillId="0" borderId="0" xfId="0" applyNumberFormat="1" applyFont="1" applyAlignment="1">
      <alignment horizontal="left"/>
    </xf>
    <xf numFmtId="169" fontId="2" fillId="0" borderId="5" xfId="0" applyNumberFormat="1" applyFont="1" applyBorder="1"/>
    <xf numFmtId="169" fontId="2" fillId="0" borderId="0" xfId="0" applyNumberFormat="1" applyFont="1" applyAlignment="1">
      <alignment horizontal="left" indent="1"/>
    </xf>
    <xf numFmtId="171" fontId="2" fillId="0" borderId="0" xfId="0" applyNumberFormat="1" applyFont="1" applyAlignment="1">
      <alignment horizontal="right"/>
    </xf>
    <xf numFmtId="172" fontId="2" fillId="0" borderId="0" xfId="0" applyNumberFormat="1" applyFont="1"/>
    <xf numFmtId="176" fontId="0" fillId="0" borderId="0" xfId="0" applyNumberFormat="1"/>
    <xf numFmtId="169" fontId="2" fillId="10" borderId="0" xfId="0" applyNumberFormat="1" applyFont="1" applyFill="1"/>
    <xf numFmtId="171" fontId="2" fillId="0" borderId="5" xfId="0" applyNumberFormat="1" applyFont="1" applyBorder="1" applyAlignment="1">
      <alignment horizontal="right"/>
    </xf>
    <xf numFmtId="172" fontId="2" fillId="0" borderId="5" xfId="0" applyNumberFormat="1" applyFont="1" applyBorder="1" applyAlignment="1">
      <alignment horizontal="right"/>
    </xf>
    <xf numFmtId="172" fontId="2" fillId="0" borderId="0" xfId="0" applyNumberFormat="1" applyFont="1" applyAlignment="1">
      <alignment horizontal="right"/>
    </xf>
    <xf numFmtId="172" fontId="2" fillId="10" borderId="6" xfId="0" applyNumberFormat="1" applyFont="1" applyFill="1" applyBorder="1" applyAlignment="1">
      <alignment horizontal="center"/>
    </xf>
    <xf numFmtId="170" fontId="2" fillId="0" borderId="8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right"/>
    </xf>
    <xf numFmtId="170" fontId="2" fillId="0" borderId="15" xfId="0" applyNumberFormat="1" applyFont="1" applyBorder="1" applyAlignment="1">
      <alignment horizontal="center"/>
    </xf>
    <xf numFmtId="170" fontId="2" fillId="0" borderId="16" xfId="0" applyNumberFormat="1" applyFont="1" applyBorder="1" applyAlignment="1">
      <alignment horizontal="center"/>
    </xf>
    <xf numFmtId="169" fontId="2" fillId="0" borderId="0" xfId="0" applyNumberFormat="1" applyFont="1" applyAlignment="1">
      <alignment horizontal="left"/>
    </xf>
    <xf numFmtId="169" fontId="19" fillId="11" borderId="21" xfId="0" applyNumberFormat="1" applyFont="1" applyFill="1" applyBorder="1"/>
    <xf numFmtId="172" fontId="19" fillId="11" borderId="22" xfId="0" applyNumberFormat="1" applyFont="1" applyFill="1" applyBorder="1"/>
    <xf numFmtId="169" fontId="2" fillId="0" borderId="0" xfId="0" applyNumberFormat="1" applyFont="1" applyAlignment="1">
      <alignment horizontal="right"/>
    </xf>
    <xf numFmtId="170" fontId="2" fillId="0" borderId="0" xfId="0" applyNumberFormat="1" applyFont="1" applyAlignment="1">
      <alignment horizontal="center"/>
    </xf>
    <xf numFmtId="173" fontId="2" fillId="10" borderId="23" xfId="0" applyNumberFormat="1" applyFont="1" applyFill="1" applyBorder="1" applyAlignment="1">
      <alignment horizontal="center"/>
    </xf>
    <xf numFmtId="170" fontId="2" fillId="0" borderId="23" xfId="0" applyNumberFormat="1" applyFont="1" applyBorder="1" applyAlignment="1">
      <alignment horizontal="center"/>
    </xf>
    <xf numFmtId="170" fontId="2" fillId="0" borderId="5" xfId="0" applyNumberFormat="1" applyFont="1" applyBorder="1" applyAlignment="1">
      <alignment horizontal="center"/>
    </xf>
    <xf numFmtId="170" fontId="2" fillId="0" borderId="9" xfId="0" applyNumberFormat="1" applyFont="1" applyBorder="1" applyAlignment="1">
      <alignment horizontal="center"/>
    </xf>
    <xf numFmtId="170" fontId="2" fillId="0" borderId="24" xfId="0" applyNumberFormat="1" applyFont="1" applyBorder="1" applyAlignment="1">
      <alignment horizontal="center"/>
    </xf>
    <xf numFmtId="170" fontId="2" fillId="0" borderId="25" xfId="0" applyNumberFormat="1" applyFont="1" applyBorder="1" applyAlignment="1">
      <alignment horizontal="center"/>
    </xf>
    <xf numFmtId="172" fontId="19" fillId="0" borderId="5" xfId="0" applyNumberFormat="1" applyFont="1" applyBorder="1" applyAlignment="1">
      <alignment horizontal="right"/>
    </xf>
    <xf numFmtId="169" fontId="2" fillId="0" borderId="5" xfId="0" applyNumberFormat="1" applyFont="1" applyBorder="1" applyAlignment="1">
      <alignment horizontal="left"/>
    </xf>
    <xf numFmtId="169" fontId="2" fillId="0" borderId="7" xfId="0" applyNumberFormat="1" applyFont="1" applyBorder="1" applyAlignment="1">
      <alignment horizontal="left"/>
    </xf>
    <xf numFmtId="169" fontId="19" fillId="0" borderId="5" xfId="0" applyNumberFormat="1" applyFont="1" applyBorder="1" applyAlignment="1">
      <alignment horizontal="left"/>
    </xf>
    <xf numFmtId="169" fontId="19" fillId="10" borderId="0" xfId="0" applyNumberFormat="1" applyFont="1" applyFill="1" applyAlignment="1">
      <alignment horizontal="left"/>
    </xf>
    <xf numFmtId="169" fontId="19" fillId="11" borderId="20" xfId="0" applyNumberFormat="1" applyFont="1" applyFill="1" applyBorder="1" applyAlignment="1">
      <alignment horizontal="left"/>
    </xf>
    <xf numFmtId="169" fontId="26" fillId="0" borderId="0" xfId="0" applyNumberFormat="1" applyFont="1"/>
    <xf numFmtId="172" fontId="26" fillId="0" borderId="6" xfId="0" applyNumberFormat="1" applyFont="1" applyBorder="1" applyAlignment="1">
      <alignment horizontal="center"/>
    </xf>
    <xf numFmtId="171" fontId="26" fillId="0" borderId="5" xfId="0" applyNumberFormat="1" applyFont="1" applyBorder="1"/>
    <xf numFmtId="171" fontId="26" fillId="0" borderId="0" xfId="0" applyNumberFormat="1" applyFont="1"/>
    <xf numFmtId="169" fontId="26" fillId="0" borderId="0" xfId="0" applyNumberFormat="1" applyFont="1" applyAlignment="1">
      <alignment horizontal="right"/>
    </xf>
    <xf numFmtId="171" fontId="14" fillId="0" borderId="5" xfId="0" applyNumberFormat="1" applyFont="1" applyBorder="1" applyAlignment="1">
      <alignment horizontal="right"/>
    </xf>
    <xf numFmtId="171" fontId="14" fillId="0" borderId="17" xfId="0" applyNumberFormat="1" applyFont="1" applyBorder="1" applyAlignment="1">
      <alignment horizontal="right"/>
    </xf>
    <xf numFmtId="49" fontId="1" fillId="0" borderId="0" xfId="0" applyNumberFormat="1" applyFont="1" applyAlignment="1">
      <alignment horizontal="left"/>
    </xf>
    <xf numFmtId="169" fontId="1" fillId="0" borderId="0" xfId="0" applyNumberFormat="1" applyFont="1" applyAlignment="1">
      <alignment horizontal="left"/>
    </xf>
    <xf numFmtId="169" fontId="1" fillId="0" borderId="0" xfId="0" applyNumberFormat="1" applyFont="1"/>
    <xf numFmtId="169" fontId="2" fillId="12" borderId="26" xfId="0" applyNumberFormat="1" applyFont="1" applyFill="1" applyBorder="1"/>
    <xf numFmtId="169" fontId="2" fillId="12" borderId="7" xfId="0" applyNumberFormat="1" applyFont="1" applyFill="1" applyBorder="1"/>
    <xf numFmtId="169" fontId="2" fillId="12" borderId="27" xfId="0" applyNumberFormat="1" applyFont="1" applyFill="1" applyBorder="1"/>
    <xf numFmtId="169" fontId="19" fillId="11" borderId="28" xfId="0" applyNumberFormat="1" applyFont="1" applyFill="1" applyBorder="1"/>
    <xf numFmtId="169" fontId="19" fillId="11" borderId="29" xfId="0" applyNumberFormat="1" applyFont="1" applyFill="1" applyBorder="1"/>
    <xf numFmtId="170" fontId="19" fillId="11" borderId="30" xfId="0" applyNumberFormat="1" applyFont="1" applyFill="1" applyBorder="1" applyAlignment="1">
      <alignment horizontal="right"/>
    </xf>
  </cellXfs>
  <cellStyles count="11">
    <cellStyle name="Bad" xfId="3" builtinId="27" customBuiltin="1"/>
    <cellStyle name="Calculation" xfId="6" builtinId="22" customBuiltin="1"/>
    <cellStyle name="Check Cell" xfId="8" builtinId="23" customBuiltin="1"/>
    <cellStyle name="Explanatory Text" xfId="9" builtinId="53" customBuiltin="1"/>
    <cellStyle name="Good" xfId="2" builtinId="26" customBuiltin="1"/>
    <cellStyle name="Hyperlink" xfId="10" builtinId="8" customBuiltin="1"/>
    <cellStyle name="Input" xfId="5" builtinId="20" customBuiltin="1"/>
    <cellStyle name="Linked Cell" xfId="7" builtinId="24" customBuiltin="1"/>
    <cellStyle name="Neutral" xfId="4" builtinId="28" customBuiltin="1"/>
    <cellStyle name="Normal" xfId="0" builtinId="0" customBuiltin="1"/>
    <cellStyle name="Note" xfId="1" builtinId="10" customBuiltin="1"/>
  </cellStyles>
  <dxfs count="0"/>
  <tableStyles count="0" defaultTableStyle="TableStyleMedium2" defaultPivotStyle="PivotStyleLight16"/>
  <colors>
    <mruColors>
      <color rgb="FF006600"/>
      <color rgb="FFDFE9F4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74C15-DE0A-4E06-B855-FDD67FB8C8C8}">
  <sheetPr>
    <tabColor theme="7" tint="0.79998168889431442"/>
  </sheetPr>
  <dimension ref="A2:L258"/>
  <sheetViews>
    <sheetView showGridLines="0" zoomScaleNormal="100" workbookViewId="0">
      <selection activeCell="H38" sqref="H38"/>
    </sheetView>
  </sheetViews>
  <sheetFormatPr baseColWidth="10" defaultColWidth="10" defaultRowHeight="13.25" customHeight="1" x14ac:dyDescent="0.15"/>
  <cols>
    <col min="1" max="1" width="1.83203125" style="114" bestFit="1" customWidth="1"/>
    <col min="2" max="4" width="10.83203125" style="64" customWidth="1"/>
    <col min="5" max="12" width="10.83203125" style="107" customWidth="1"/>
    <col min="13" max="16384" width="10" style="107"/>
  </cols>
  <sheetData>
    <row r="2" spans="1:12" s="108" customFormat="1" ht="13.25" customHeight="1" x14ac:dyDescent="0.15">
      <c r="A2" s="114" t="s">
        <v>0</v>
      </c>
      <c r="B2" s="1" t="s">
        <v>59</v>
      </c>
      <c r="C2" s="1"/>
      <c r="D2" s="1"/>
      <c r="E2" s="107"/>
      <c r="F2" s="107"/>
      <c r="G2" s="107"/>
      <c r="H2" s="107"/>
      <c r="I2" s="107"/>
      <c r="J2" s="107"/>
      <c r="K2" s="107"/>
      <c r="L2" s="107"/>
    </row>
    <row r="3" spans="1:12" ht="13.25" customHeight="1" x14ac:dyDescent="0.15">
      <c r="B3" s="3" t="s">
        <v>1</v>
      </c>
      <c r="C3" s="3"/>
      <c r="D3" s="4">
        <v>450.05</v>
      </c>
      <c r="E3" s="106"/>
      <c r="F3" s="33" t="s">
        <v>60</v>
      </c>
      <c r="G3" s="106"/>
      <c r="H3" s="8">
        <v>2</v>
      </c>
      <c r="I3" s="106"/>
      <c r="J3" s="106" t="s">
        <v>176</v>
      </c>
      <c r="K3" s="106"/>
      <c r="L3" s="5">
        <v>1</v>
      </c>
    </row>
    <row r="4" spans="1:12" ht="13.25" customHeight="1" x14ac:dyDescent="0.15">
      <c r="B4" s="124" t="s">
        <v>2</v>
      </c>
      <c r="C4" s="124"/>
      <c r="D4" s="6">
        <v>45233</v>
      </c>
      <c r="F4" s="64" t="s">
        <v>61</v>
      </c>
      <c r="H4" s="105" t="str">
        <f>+IF(H3=1,"Base",IF(H3=2,"Upside",IF(H3=3,"Downside","–")))</f>
        <v>Upside</v>
      </c>
      <c r="J4" s="64" t="s">
        <v>184</v>
      </c>
      <c r="L4" s="14">
        <v>0.125</v>
      </c>
    </row>
    <row r="5" spans="1:12" ht="13.25" customHeight="1" x14ac:dyDescent="0.15">
      <c r="B5" s="124"/>
      <c r="C5" s="124"/>
      <c r="D5" s="107"/>
      <c r="F5" s="64"/>
      <c r="G5" s="64"/>
    </row>
    <row r="6" spans="1:12" ht="13.25" customHeight="1" x14ac:dyDescent="0.15">
      <c r="A6" s="114" t="s">
        <v>0</v>
      </c>
      <c r="B6" s="30" t="s">
        <v>3</v>
      </c>
      <c r="C6" s="30"/>
      <c r="D6" s="30"/>
      <c r="E6" s="31"/>
      <c r="F6" s="31"/>
      <c r="G6" s="31"/>
      <c r="H6" s="31"/>
      <c r="I6" s="31"/>
      <c r="J6" s="31"/>
      <c r="K6" s="31"/>
      <c r="L6" s="31"/>
    </row>
    <row r="7" spans="1:12" ht="13.25" customHeight="1" x14ac:dyDescent="0.15">
      <c r="B7" s="54" t="s">
        <v>173</v>
      </c>
      <c r="C7" s="54"/>
      <c r="D7" s="54"/>
      <c r="E7" s="52">
        <v>43856</v>
      </c>
      <c r="F7" s="52">
        <f t="shared" ref="F7:L7" si="0">+EOMONTH(E7,12)</f>
        <v>44227</v>
      </c>
      <c r="G7" s="113">
        <f t="shared" si="0"/>
        <v>44592</v>
      </c>
      <c r="H7" s="53">
        <f t="shared" si="0"/>
        <v>44957</v>
      </c>
      <c r="I7" s="53">
        <f t="shared" si="0"/>
        <v>45322</v>
      </c>
      <c r="J7" s="53">
        <f t="shared" si="0"/>
        <v>45688</v>
      </c>
      <c r="K7" s="53">
        <f t="shared" si="0"/>
        <v>46053</v>
      </c>
      <c r="L7" s="53">
        <f t="shared" si="0"/>
        <v>46418</v>
      </c>
    </row>
    <row r="8" spans="1:12" ht="13.25" customHeight="1" x14ac:dyDescent="0.15">
      <c r="G8" s="109"/>
    </row>
    <row r="9" spans="1:12" s="108" customFormat="1" ht="13.25" customHeight="1" x14ac:dyDescent="0.15">
      <c r="A9" s="114"/>
      <c r="B9" s="1" t="s">
        <v>62</v>
      </c>
      <c r="C9" s="1"/>
      <c r="D9" s="1"/>
      <c r="E9" s="9">
        <f>+E55</f>
        <v>10918</v>
      </c>
      <c r="F9" s="9">
        <f t="shared" ref="F9:L9" si="1">+F55</f>
        <v>16675</v>
      </c>
      <c r="G9" s="55">
        <f t="shared" si="1"/>
        <v>26914</v>
      </c>
      <c r="H9" s="10">
        <f t="shared" ca="1" si="1"/>
        <v>50009.80000000001</v>
      </c>
      <c r="I9" s="10">
        <f t="shared" ca="1" si="1"/>
        <v>83429.573000000004</v>
      </c>
      <c r="J9" s="10">
        <f t="shared" ca="1" si="1"/>
        <v>122236.41221000001</v>
      </c>
      <c r="K9" s="10">
        <f t="shared" ca="1" si="1"/>
        <v>153350.07155005002</v>
      </c>
      <c r="L9" s="10">
        <f t="shared" ca="1" si="1"/>
        <v>159484.074412052</v>
      </c>
    </row>
    <row r="10" spans="1:12" ht="13.25" customHeight="1" x14ac:dyDescent="0.15">
      <c r="B10" s="64" t="s">
        <v>63</v>
      </c>
      <c r="E10" s="11">
        <v>-4150</v>
      </c>
      <c r="F10" s="11">
        <v>-6279</v>
      </c>
      <c r="G10" s="56">
        <v>-9439</v>
      </c>
      <c r="H10" s="65">
        <f ca="1">-(1-H61)*H9</f>
        <v>-16003.136</v>
      </c>
      <c r="I10" s="65">
        <f ca="1">-(1-I61)*I9</f>
        <v>-25863.167629999996</v>
      </c>
      <c r="J10" s="65">
        <f ca="1">-(1-J61)*J9</f>
        <v>-36670.923662999994</v>
      </c>
      <c r="K10" s="65">
        <f ca="1">-(1-K61)*K9</f>
        <v>-44471.520749514493</v>
      </c>
      <c r="L10" s="65">
        <f ca="1">-(1-L61)*L9</f>
        <v>-44655.540835374566</v>
      </c>
    </row>
    <row r="11" spans="1:12" ht="13.25" customHeight="1" x14ac:dyDescent="0.15">
      <c r="B11" s="12" t="s">
        <v>4</v>
      </c>
      <c r="C11" s="12"/>
      <c r="D11" s="12"/>
      <c r="E11" s="13">
        <f>SUM(E9:E10)</f>
        <v>6768</v>
      </c>
      <c r="F11" s="13">
        <f t="shared" ref="F11:L11" si="2">SUM(F9:F10)</f>
        <v>10396</v>
      </c>
      <c r="G11" s="57">
        <f t="shared" si="2"/>
        <v>17475</v>
      </c>
      <c r="H11" s="13">
        <f ca="1">SUM(H9:H10)</f>
        <v>34006.664000000012</v>
      </c>
      <c r="I11" s="13">
        <f t="shared" ca="1" si="2"/>
        <v>57566.405370000008</v>
      </c>
      <c r="J11" s="13">
        <f t="shared" ca="1" si="2"/>
        <v>85565.488547000015</v>
      </c>
      <c r="K11" s="13">
        <f t="shared" ca="1" si="2"/>
        <v>108878.55080053554</v>
      </c>
      <c r="L11" s="13">
        <f t="shared" ca="1" si="2"/>
        <v>114828.53357667744</v>
      </c>
    </row>
    <row r="12" spans="1:12" ht="13.25" customHeight="1" x14ac:dyDescent="0.15">
      <c r="B12" s="64" t="s">
        <v>5</v>
      </c>
      <c r="E12" s="11">
        <v>-2829</v>
      </c>
      <c r="F12" s="11">
        <v>-3924</v>
      </c>
      <c r="G12" s="56">
        <v>-5268</v>
      </c>
      <c r="H12" s="65">
        <f ca="1">-H66*H9</f>
        <v>-9251.8130000000019</v>
      </c>
      <c r="I12" s="65">
        <f ca="1">-I66*I9</f>
        <v>-14913.036173750001</v>
      </c>
      <c r="J12" s="65">
        <f ca="1">-J66*J9</f>
        <v>-21085.781106225</v>
      </c>
      <c r="K12" s="65">
        <f ca="1">-K66*K9</f>
        <v>-25494.449395195814</v>
      </c>
      <c r="L12" s="65">
        <f ca="1">-L66*L9</f>
        <v>-25517.451905928319</v>
      </c>
    </row>
    <row r="13" spans="1:12" ht="13.25" customHeight="1" x14ac:dyDescent="0.15">
      <c r="B13" s="64" t="s">
        <v>183</v>
      </c>
      <c r="E13" s="11">
        <v>-1093</v>
      </c>
      <c r="F13" s="11">
        <v>-1940</v>
      </c>
      <c r="G13" s="56">
        <v>-2166</v>
      </c>
      <c r="H13" s="65">
        <f ca="1">-H71*H9</f>
        <v>-4000.784000000001</v>
      </c>
      <c r="I13" s="65">
        <f ca="1">-I71*I9</f>
        <v>-6257.2179750000005</v>
      </c>
      <c r="J13" s="65">
        <f ca="1">-J71*J9</f>
        <v>-8556.5488547000004</v>
      </c>
      <c r="K13" s="65">
        <f ca="1">-K71*K9</f>
        <v>-9967.7546507532497</v>
      </c>
      <c r="L13" s="65">
        <f ca="1">-L71*L9</f>
        <v>-9569.0444647231197</v>
      </c>
    </row>
    <row r="14" spans="1:12" ht="13.25" customHeight="1" x14ac:dyDescent="0.15">
      <c r="B14" s="12" t="s">
        <v>6</v>
      </c>
      <c r="C14" s="12"/>
      <c r="D14" s="12"/>
      <c r="E14" s="13">
        <f t="shared" ref="E14:L14" si="3">SUM(E11:E13)</f>
        <v>2846</v>
      </c>
      <c r="F14" s="13">
        <f t="shared" si="3"/>
        <v>4532</v>
      </c>
      <c r="G14" s="57">
        <f t="shared" si="3"/>
        <v>10041</v>
      </c>
      <c r="H14" s="13">
        <f t="shared" ca="1" si="3"/>
        <v>20754.06700000001</v>
      </c>
      <c r="I14" s="13">
        <f t="shared" ca="1" si="3"/>
        <v>36396.151221250009</v>
      </c>
      <c r="J14" s="13">
        <f t="shared" ca="1" si="3"/>
        <v>55923.15858607502</v>
      </c>
      <c r="K14" s="13">
        <f t="shared" ca="1" si="3"/>
        <v>73416.34675458647</v>
      </c>
      <c r="L14" s="13">
        <f t="shared" ca="1" si="3"/>
        <v>79742.037206025998</v>
      </c>
    </row>
    <row r="15" spans="1:12" ht="13.25" customHeight="1" x14ac:dyDescent="0.15">
      <c r="B15" s="7" t="s">
        <v>7</v>
      </c>
      <c r="C15" s="7"/>
      <c r="D15" s="7"/>
      <c r="E15" s="11">
        <f>-52</f>
        <v>-52</v>
      </c>
      <c r="F15" s="11">
        <f>-184</f>
        <v>-184</v>
      </c>
      <c r="G15" s="56">
        <f>-236</f>
        <v>-236</v>
      </c>
      <c r="H15" s="65">
        <f ca="1">+H244</f>
        <v>-382.72689000000003</v>
      </c>
      <c r="I15" s="65">
        <f ca="1">+I244</f>
        <v>-381.96067000000005</v>
      </c>
      <c r="J15" s="65">
        <f ca="1">+J244</f>
        <v>-381.19445000000007</v>
      </c>
      <c r="K15" s="65">
        <f ca="1">+K244</f>
        <v>-380.42823000000004</v>
      </c>
      <c r="L15" s="65">
        <f ca="1">+L244</f>
        <v>-379.66201000000007</v>
      </c>
    </row>
    <row r="16" spans="1:12" ht="13.25" customHeight="1" x14ac:dyDescent="0.15">
      <c r="B16" s="7" t="s">
        <v>8</v>
      </c>
      <c r="C16" s="7"/>
      <c r="D16" s="7"/>
      <c r="E16" s="11">
        <v>178</v>
      </c>
      <c r="F16" s="11">
        <v>57</v>
      </c>
      <c r="G16" s="56">
        <v>29</v>
      </c>
      <c r="H16" s="65">
        <f ca="1">+H248</f>
        <v>30.530662170050206</v>
      </c>
      <c r="I16" s="65">
        <f ca="1">+I248</f>
        <v>56.448998667145275</v>
      </c>
      <c r="J16" s="65">
        <f ca="1">+J248</f>
        <v>98.986044165850402</v>
      </c>
      <c r="K16" s="65">
        <f ca="1">+K248</f>
        <v>159.54362191968372</v>
      </c>
      <c r="L16" s="65">
        <f ca="1">+L248</f>
        <v>232.62773541178245</v>
      </c>
    </row>
    <row r="17" spans="1:12" ht="13.25" customHeight="1" x14ac:dyDescent="0.15">
      <c r="B17" s="7" t="s">
        <v>64</v>
      </c>
      <c r="C17" s="7"/>
      <c r="D17" s="7"/>
      <c r="E17" s="11">
        <v>-2</v>
      </c>
      <c r="F17" s="11">
        <v>4</v>
      </c>
      <c r="G17" s="56">
        <v>107</v>
      </c>
      <c r="H17" s="11">
        <v>0</v>
      </c>
      <c r="I17" s="65">
        <f>+H17</f>
        <v>0</v>
      </c>
      <c r="J17" s="65">
        <f t="shared" ref="J17:L17" si="4">+I17</f>
        <v>0</v>
      </c>
      <c r="K17" s="65">
        <f t="shared" si="4"/>
        <v>0</v>
      </c>
      <c r="L17" s="65">
        <f t="shared" si="4"/>
        <v>0</v>
      </c>
    </row>
    <row r="18" spans="1:12" ht="13.25" customHeight="1" x14ac:dyDescent="0.15">
      <c r="B18" s="12" t="s">
        <v>9</v>
      </c>
      <c r="C18" s="12"/>
      <c r="D18" s="12"/>
      <c r="E18" s="13">
        <f>SUM(E14:E17)</f>
        <v>2970</v>
      </c>
      <c r="F18" s="13">
        <f t="shared" ref="F18:L18" si="5">SUM(F14:F17)</f>
        <v>4409</v>
      </c>
      <c r="G18" s="57">
        <f t="shared" si="5"/>
        <v>9941</v>
      </c>
      <c r="H18" s="13">
        <f ca="1">SUM(H14:H17)</f>
        <v>20401.870772170059</v>
      </c>
      <c r="I18" s="13">
        <f t="shared" ca="1" si="5"/>
        <v>36070.639549917156</v>
      </c>
      <c r="J18" s="13">
        <f t="shared" ca="1" si="5"/>
        <v>55640.95018024087</v>
      </c>
      <c r="K18" s="13">
        <f t="shared" ca="1" si="5"/>
        <v>73195.46214650615</v>
      </c>
      <c r="L18" s="13">
        <f t="shared" ca="1" si="5"/>
        <v>79595.002931437775</v>
      </c>
    </row>
    <row r="19" spans="1:12" ht="13.25" customHeight="1" x14ac:dyDescent="0.15">
      <c r="B19" s="7" t="s">
        <v>65</v>
      </c>
      <c r="C19" s="7"/>
      <c r="D19" s="107"/>
      <c r="E19" s="11">
        <v>-174</v>
      </c>
      <c r="F19" s="11">
        <v>-77</v>
      </c>
      <c r="G19" s="56">
        <v>-189</v>
      </c>
      <c r="H19" s="65">
        <f ca="1">IF(H18&gt;0,-$L$4*H18,0)</f>
        <v>-2550.2338465212574</v>
      </c>
      <c r="I19" s="65">
        <f ca="1">IF(I18&gt;0,-$L$4*I18,0)</f>
        <v>-4508.8299437396445</v>
      </c>
      <c r="J19" s="65">
        <f ca="1">IF(J18&gt;0,-$L$4*J18,0)</f>
        <v>-6955.1187725301088</v>
      </c>
      <c r="K19" s="65">
        <f ca="1">IF(K18&gt;0,-$L$4*K18,0)</f>
        <v>-9149.4327683132688</v>
      </c>
      <c r="L19" s="65">
        <f ca="1">IF(L18&gt;0,-$L$4*L18,0)</f>
        <v>-9949.3753664297219</v>
      </c>
    </row>
    <row r="20" spans="1:12" ht="13.25" customHeight="1" x14ac:dyDescent="0.15">
      <c r="B20" s="12" t="s">
        <v>10</v>
      </c>
      <c r="C20" s="12"/>
      <c r="D20" s="12"/>
      <c r="E20" s="13">
        <f>SUM(E18:E19)</f>
        <v>2796</v>
      </c>
      <c r="F20" s="13">
        <f t="shared" ref="F20:L20" si="6">SUM(F18:F19)</f>
        <v>4332</v>
      </c>
      <c r="G20" s="57">
        <f t="shared" si="6"/>
        <v>9752</v>
      </c>
      <c r="H20" s="13">
        <f t="shared" ca="1" si="6"/>
        <v>17851.636925648803</v>
      </c>
      <c r="I20" s="13">
        <f t="shared" ca="1" si="6"/>
        <v>31561.80960617751</v>
      </c>
      <c r="J20" s="13">
        <f t="shared" ca="1" si="6"/>
        <v>48685.831407710764</v>
      </c>
      <c r="K20" s="13">
        <f t="shared" ca="1" si="6"/>
        <v>64046.029378192878</v>
      </c>
      <c r="L20" s="13">
        <f t="shared" ca="1" si="6"/>
        <v>69645.62756500805</v>
      </c>
    </row>
    <row r="21" spans="1:12" ht="13.25" customHeight="1" x14ac:dyDescent="0.15">
      <c r="B21" s="7"/>
      <c r="C21" s="7"/>
      <c r="D21" s="7"/>
      <c r="E21" s="65"/>
      <c r="F21" s="65"/>
      <c r="G21" s="66"/>
      <c r="H21" s="65"/>
      <c r="I21" s="65"/>
      <c r="J21" s="65"/>
      <c r="K21" s="65"/>
      <c r="L21" s="65"/>
    </row>
    <row r="22" spans="1:12" ht="13.25" customHeight="1" x14ac:dyDescent="0.15">
      <c r="A22" s="114" t="s">
        <v>0</v>
      </c>
      <c r="B22" s="30" t="s">
        <v>67</v>
      </c>
      <c r="C22" s="30"/>
      <c r="D22" s="30"/>
      <c r="E22" s="31"/>
      <c r="F22" s="31"/>
      <c r="G22" s="31"/>
      <c r="H22" s="31"/>
      <c r="I22" s="31"/>
      <c r="J22" s="31"/>
      <c r="K22" s="31"/>
      <c r="L22" s="31"/>
    </row>
    <row r="23" spans="1:12" ht="13.25" customHeight="1" x14ac:dyDescent="0.15">
      <c r="B23" s="54" t="s">
        <v>173</v>
      </c>
      <c r="C23" s="54"/>
      <c r="D23" s="54"/>
      <c r="E23" s="52">
        <f>+E$7</f>
        <v>43856</v>
      </c>
      <c r="F23" s="52">
        <f t="shared" ref="F23:L23" si="7">+F$7</f>
        <v>44227</v>
      </c>
      <c r="G23" s="113">
        <f t="shared" si="7"/>
        <v>44592</v>
      </c>
      <c r="H23" s="53">
        <f t="shared" si="7"/>
        <v>44957</v>
      </c>
      <c r="I23" s="53">
        <f t="shared" si="7"/>
        <v>45322</v>
      </c>
      <c r="J23" s="53">
        <f t="shared" si="7"/>
        <v>45688</v>
      </c>
      <c r="K23" s="53">
        <f t="shared" si="7"/>
        <v>46053</v>
      </c>
      <c r="L23" s="53">
        <f t="shared" si="7"/>
        <v>46418</v>
      </c>
    </row>
    <row r="24" spans="1:12" ht="13.25" customHeight="1" x14ac:dyDescent="0.15">
      <c r="G24" s="109"/>
    </row>
    <row r="25" spans="1:12" s="108" customFormat="1" ht="13.25" customHeight="1" x14ac:dyDescent="0.15">
      <c r="A25" s="114"/>
      <c r="B25" s="1" t="s">
        <v>68</v>
      </c>
      <c r="C25" s="1"/>
      <c r="D25" s="1"/>
      <c r="E25" s="16">
        <v>5518</v>
      </c>
      <c r="F25" s="16">
        <v>7759</v>
      </c>
      <c r="G25" s="59">
        <v>12462</v>
      </c>
      <c r="H25" s="10">
        <f ca="1">+G25*(1+H26)</f>
        <v>22431.600000000002</v>
      </c>
      <c r="I25" s="10">
        <f t="shared" ref="I25:L25" ca="1" si="8">+H25*(1+I26)</f>
        <v>36114.876000000004</v>
      </c>
      <c r="J25" s="10">
        <f t="shared" ca="1" si="8"/>
        <v>51283.123920000013</v>
      </c>
      <c r="K25" s="10">
        <f t="shared" ca="1" si="8"/>
        <v>63078.242421600014</v>
      </c>
      <c r="L25" s="10">
        <f t="shared" ca="1" si="8"/>
        <v>65601.372118464016</v>
      </c>
    </row>
    <row r="26" spans="1:12" ht="13.25" customHeight="1" x14ac:dyDescent="0.15">
      <c r="B26" s="54" t="s">
        <v>69</v>
      </c>
      <c r="C26" s="54"/>
      <c r="D26" s="54"/>
      <c r="E26" s="67" t="str">
        <f>+IFERROR(E25/#REF!-1,"NA")</f>
        <v>NA</v>
      </c>
      <c r="F26" s="67">
        <f t="shared" ref="F26:G26" si="9">+IFERROR(F25/E25-1,"NA")</f>
        <v>0.40612540775643358</v>
      </c>
      <c r="G26" s="68">
        <f t="shared" si="9"/>
        <v>0.60613481118700863</v>
      </c>
      <c r="H26" s="67">
        <f ca="1">+OFFSET(H26,$H$3,0)</f>
        <v>0.8</v>
      </c>
      <c r="I26" s="67">
        <f ca="1">+OFFSET(I26,$H$3,0)</f>
        <v>0.6100000000000001</v>
      </c>
      <c r="J26" s="67">
        <f ca="1">+OFFSET(J26,$H$3,0)</f>
        <v>0.4200000000000001</v>
      </c>
      <c r="K26" s="67">
        <f ca="1">+OFFSET(K26,$H$3,0)</f>
        <v>0.23000000000000009</v>
      </c>
      <c r="L26" s="67">
        <f ca="1">+OFFSET(L26,$H$3,0)</f>
        <v>0.04</v>
      </c>
    </row>
    <row r="27" spans="1:12" ht="13.25" customHeight="1" x14ac:dyDescent="0.15">
      <c r="B27" s="7" t="s">
        <v>70</v>
      </c>
      <c r="C27" s="7"/>
      <c r="D27" s="7"/>
      <c r="E27" s="65"/>
      <c r="F27" s="65"/>
      <c r="G27" s="69"/>
      <c r="H27" s="70">
        <v>0.5</v>
      </c>
      <c r="I27" s="71">
        <f ca="1">+H27-($H27-$L27)/COUNTA($H27:$K27)</f>
        <v>0.38500000000000001</v>
      </c>
      <c r="J27" s="71">
        <f t="shared" ref="J27:K27" ca="1" si="10">+I27-($H27-$L27)/COUNTA($H27:$K27)</f>
        <v>0.27</v>
      </c>
      <c r="K27" s="71">
        <f t="shared" ca="1" si="10"/>
        <v>0.15500000000000003</v>
      </c>
      <c r="L27" s="72">
        <v>0.04</v>
      </c>
    </row>
    <row r="28" spans="1:12" ht="13.25" customHeight="1" x14ac:dyDescent="0.15">
      <c r="B28" s="7" t="s">
        <v>71</v>
      </c>
      <c r="C28" s="7"/>
      <c r="D28" s="7"/>
      <c r="E28" s="65"/>
      <c r="F28" s="65"/>
      <c r="G28" s="69"/>
      <c r="H28" s="73">
        <v>0.8</v>
      </c>
      <c r="I28" s="71">
        <f t="shared" ref="I28:K29" ca="1" si="11">+H28-($H28-$L28)/COUNTA($H28:$K28)</f>
        <v>0.6100000000000001</v>
      </c>
      <c r="J28" s="71">
        <f t="shared" ca="1" si="11"/>
        <v>0.4200000000000001</v>
      </c>
      <c r="K28" s="71">
        <f t="shared" ca="1" si="11"/>
        <v>0.23000000000000009</v>
      </c>
      <c r="L28" s="72">
        <v>0.04</v>
      </c>
    </row>
    <row r="29" spans="1:12" ht="13.25" customHeight="1" x14ac:dyDescent="0.15">
      <c r="B29" s="7" t="s">
        <v>72</v>
      </c>
      <c r="C29" s="7"/>
      <c r="D29" s="7"/>
      <c r="E29" s="65"/>
      <c r="F29" s="65"/>
      <c r="G29" s="69"/>
      <c r="H29" s="73">
        <v>0.3</v>
      </c>
      <c r="I29" s="71">
        <f t="shared" ca="1" si="11"/>
        <v>0.23499999999999999</v>
      </c>
      <c r="J29" s="71">
        <f t="shared" ca="1" si="11"/>
        <v>0.16999999999999998</v>
      </c>
      <c r="K29" s="71">
        <f t="shared" ca="1" si="11"/>
        <v>0.10499999999999998</v>
      </c>
      <c r="L29" s="72">
        <v>0.04</v>
      </c>
    </row>
    <row r="30" spans="1:12" ht="13.25" customHeight="1" x14ac:dyDescent="0.15">
      <c r="B30" s="7"/>
      <c r="C30" s="7"/>
      <c r="D30" s="7"/>
      <c r="E30" s="65"/>
      <c r="F30" s="65"/>
      <c r="G30" s="69"/>
      <c r="H30" s="11"/>
      <c r="I30" s="11"/>
      <c r="J30" s="11"/>
      <c r="K30" s="11"/>
      <c r="L30" s="11"/>
    </row>
    <row r="31" spans="1:12" s="108" customFormat="1" ht="13.25" customHeight="1" x14ac:dyDescent="0.15">
      <c r="A31" s="114"/>
      <c r="B31" s="17" t="s">
        <v>73</v>
      </c>
      <c r="C31" s="17"/>
      <c r="D31" s="17"/>
      <c r="E31" s="16">
        <v>2983</v>
      </c>
      <c r="F31" s="16">
        <v>6696</v>
      </c>
      <c r="G31" s="59">
        <v>10613</v>
      </c>
      <c r="H31" s="10">
        <f ca="1">+G31*(1+H32)</f>
        <v>21226</v>
      </c>
      <c r="I31" s="10">
        <f ca="1">+H31*(1+I32)</f>
        <v>37357.760000000002</v>
      </c>
      <c r="J31" s="10">
        <f ca="1">+I31*(1+J32)</f>
        <v>56783.7952</v>
      </c>
      <c r="K31" s="10">
        <f ca="1">+J31*(1+K32)</f>
        <v>72683.257855999997</v>
      </c>
      <c r="L31" s="10">
        <f ca="1">+K31*(1+L32)</f>
        <v>75590.588170239993</v>
      </c>
    </row>
    <row r="32" spans="1:12" ht="13.25" customHeight="1" x14ac:dyDescent="0.15">
      <c r="B32" s="54" t="s">
        <v>74</v>
      </c>
      <c r="C32" s="54"/>
      <c r="D32" s="54"/>
      <c r="E32" s="67" t="str">
        <f>+IFERROR(E31/#REF!-1,"NA")</f>
        <v>NA</v>
      </c>
      <c r="F32" s="67">
        <f>+IFERROR(F31/E31-1,"NA")</f>
        <v>1.2447200804559166</v>
      </c>
      <c r="G32" s="68">
        <f>+IFERROR(G31/F31-1,"NA")</f>
        <v>0.5849761051373954</v>
      </c>
      <c r="H32" s="67">
        <f ca="1">+OFFSET(H32,$H$3,0)</f>
        <v>1</v>
      </c>
      <c r="I32" s="67">
        <f ca="1">+OFFSET(I32,$H$3,0)</f>
        <v>0.76</v>
      </c>
      <c r="J32" s="67">
        <f ca="1">+OFFSET(J32,$H$3,0)</f>
        <v>0.52</v>
      </c>
      <c r="K32" s="67">
        <f ca="1">+OFFSET(K32,$H$3,0)</f>
        <v>0.28000000000000003</v>
      </c>
      <c r="L32" s="67">
        <f ca="1">+OFFSET(L32,$H$3,0)</f>
        <v>0.04</v>
      </c>
    </row>
    <row r="33" spans="1:12" ht="13.25" customHeight="1" x14ac:dyDescent="0.15">
      <c r="B33" s="7" t="s">
        <v>70</v>
      </c>
      <c r="C33" s="7"/>
      <c r="D33" s="7"/>
      <c r="E33" s="65"/>
      <c r="F33" s="65"/>
      <c r="G33" s="69"/>
      <c r="H33" s="70">
        <v>0.65</v>
      </c>
      <c r="I33" s="71">
        <f ca="1">+H33-($H33-$L33)/COUNTA($H33:$K33)</f>
        <v>0.49750000000000005</v>
      </c>
      <c r="J33" s="71">
        <f t="shared" ref="J33:K33" ca="1" si="12">+I33-($H33-$L33)/COUNTA($H33:$K33)</f>
        <v>0.34500000000000008</v>
      </c>
      <c r="K33" s="71">
        <f t="shared" ca="1" si="12"/>
        <v>0.19250000000000009</v>
      </c>
      <c r="L33" s="72">
        <v>0.04</v>
      </c>
    </row>
    <row r="34" spans="1:12" ht="13.25" customHeight="1" x14ac:dyDescent="0.15">
      <c r="B34" s="7" t="s">
        <v>71</v>
      </c>
      <c r="C34" s="7"/>
      <c r="D34" s="7"/>
      <c r="E34" s="65"/>
      <c r="F34" s="65"/>
      <c r="G34" s="69"/>
      <c r="H34" s="73">
        <v>1</v>
      </c>
      <c r="I34" s="71">
        <f t="shared" ref="I34:K35" ca="1" si="13">+H34-($H34-$L34)/COUNTA($H34:$K34)</f>
        <v>0.76</v>
      </c>
      <c r="J34" s="71">
        <f t="shared" ca="1" si="13"/>
        <v>0.52</v>
      </c>
      <c r="K34" s="71">
        <f t="shared" ca="1" si="13"/>
        <v>0.28000000000000003</v>
      </c>
      <c r="L34" s="72">
        <v>0.04</v>
      </c>
    </row>
    <row r="35" spans="1:12" ht="13.25" customHeight="1" x14ac:dyDescent="0.15">
      <c r="B35" s="7" t="s">
        <v>72</v>
      </c>
      <c r="C35" s="7"/>
      <c r="D35" s="7"/>
      <c r="E35" s="65"/>
      <c r="F35" s="65"/>
      <c r="G35" s="69"/>
      <c r="H35" s="73">
        <v>0.5</v>
      </c>
      <c r="I35" s="71">
        <f t="shared" ca="1" si="13"/>
        <v>0.38500000000000001</v>
      </c>
      <c r="J35" s="71">
        <f t="shared" ca="1" si="13"/>
        <v>0.27</v>
      </c>
      <c r="K35" s="71">
        <f t="shared" ca="1" si="13"/>
        <v>0.15500000000000003</v>
      </c>
      <c r="L35" s="72">
        <v>0.04</v>
      </c>
    </row>
    <row r="36" spans="1:12" ht="13.25" customHeight="1" x14ac:dyDescent="0.15">
      <c r="B36" s="7"/>
      <c r="C36" s="7"/>
      <c r="D36" s="7"/>
      <c r="E36" s="65"/>
      <c r="F36" s="65"/>
      <c r="G36" s="69"/>
      <c r="H36" s="11"/>
      <c r="I36" s="11"/>
      <c r="J36" s="11"/>
      <c r="K36" s="11"/>
      <c r="L36" s="11"/>
    </row>
    <row r="37" spans="1:12" s="108" customFormat="1" ht="13.25" customHeight="1" x14ac:dyDescent="0.15">
      <c r="A37" s="114"/>
      <c r="B37" s="17" t="s">
        <v>75</v>
      </c>
      <c r="C37" s="17"/>
      <c r="D37" s="17"/>
      <c r="E37" s="16">
        <v>1212</v>
      </c>
      <c r="F37" s="16">
        <v>1053</v>
      </c>
      <c r="G37" s="59">
        <v>2111</v>
      </c>
      <c r="H37" s="10">
        <f ca="1">+G37*(1+H38)</f>
        <v>4222</v>
      </c>
      <c r="I37" s="10">
        <f ca="1">+H37*(1+I38)</f>
        <v>7430.72</v>
      </c>
      <c r="J37" s="10">
        <f ca="1">+I37*(1+J38)</f>
        <v>11294.6944</v>
      </c>
      <c r="K37" s="10">
        <f ca="1">+J37*(1+K38)</f>
        <v>14457.208832</v>
      </c>
      <c r="L37" s="10">
        <f ca="1">+K37*(1+L38)</f>
        <v>15035.497185280001</v>
      </c>
    </row>
    <row r="38" spans="1:12" ht="13.25" customHeight="1" x14ac:dyDescent="0.15">
      <c r="B38" s="54" t="s">
        <v>76</v>
      </c>
      <c r="C38" s="54"/>
      <c r="D38" s="54"/>
      <c r="E38" s="67" t="str">
        <f>+IFERROR(E37/#REF!-1,"NA")</f>
        <v>NA</v>
      </c>
      <c r="F38" s="67">
        <f>+IFERROR(F37/E37-1,"NA")</f>
        <v>-0.13118811881188119</v>
      </c>
      <c r="G38" s="68">
        <f>+IFERROR(G37/F37-1,"NA")</f>
        <v>1.0047483380816713</v>
      </c>
      <c r="H38" s="67">
        <f ca="1">+OFFSET(H38,$H$3,0)</f>
        <v>1</v>
      </c>
      <c r="I38" s="67">
        <f ca="1">+OFFSET(I38,$H$3,0)</f>
        <v>0.76</v>
      </c>
      <c r="J38" s="67">
        <f ca="1">+OFFSET(J38,$H$3,0)</f>
        <v>0.52</v>
      </c>
      <c r="K38" s="67">
        <f ca="1">+OFFSET(K38,$H$3,0)</f>
        <v>0.28000000000000003</v>
      </c>
      <c r="L38" s="67">
        <f ca="1">+OFFSET(L38,$H$3,0)</f>
        <v>0.04</v>
      </c>
    </row>
    <row r="39" spans="1:12" ht="13.25" customHeight="1" x14ac:dyDescent="0.15">
      <c r="B39" s="7" t="s">
        <v>70</v>
      </c>
      <c r="C39" s="7"/>
      <c r="D39" s="7"/>
      <c r="E39" s="65"/>
      <c r="F39" s="65"/>
      <c r="G39" s="69"/>
      <c r="H39" s="70">
        <v>0.7</v>
      </c>
      <c r="I39" s="71">
        <f ca="1">+H39-($H39-$L39)/COUNTA($H39:$K39)</f>
        <v>0.53499999999999992</v>
      </c>
      <c r="J39" s="71">
        <f t="shared" ref="J39:K39" ca="1" si="14">+I39-($H39-$L39)/COUNTA($H39:$K39)</f>
        <v>0.36999999999999994</v>
      </c>
      <c r="K39" s="71">
        <f t="shared" ca="1" si="14"/>
        <v>0.20499999999999996</v>
      </c>
      <c r="L39" s="72">
        <v>0.04</v>
      </c>
    </row>
    <row r="40" spans="1:12" ht="13.25" customHeight="1" x14ac:dyDescent="0.15">
      <c r="B40" s="7" t="s">
        <v>71</v>
      </c>
      <c r="C40" s="7"/>
      <c r="D40" s="7"/>
      <c r="E40" s="65"/>
      <c r="F40" s="65"/>
      <c r="G40" s="69"/>
      <c r="H40" s="73">
        <v>1</v>
      </c>
      <c r="I40" s="71">
        <f t="shared" ref="I40:K41" ca="1" si="15">+H40-($H40-$L40)/COUNTA($H40:$K40)</f>
        <v>0.76</v>
      </c>
      <c r="J40" s="71">
        <f t="shared" ca="1" si="15"/>
        <v>0.52</v>
      </c>
      <c r="K40" s="71">
        <f t="shared" ca="1" si="15"/>
        <v>0.28000000000000003</v>
      </c>
      <c r="L40" s="72">
        <v>0.04</v>
      </c>
    </row>
    <row r="41" spans="1:12" ht="13.25" customHeight="1" x14ac:dyDescent="0.15">
      <c r="B41" s="7" t="s">
        <v>72</v>
      </c>
      <c r="C41" s="7"/>
      <c r="D41" s="7"/>
      <c r="E41" s="65"/>
      <c r="F41" s="65"/>
      <c r="G41" s="69"/>
      <c r="H41" s="73">
        <v>0.5</v>
      </c>
      <c r="I41" s="71">
        <f t="shared" ca="1" si="15"/>
        <v>0.38500000000000001</v>
      </c>
      <c r="J41" s="71">
        <f t="shared" ca="1" si="15"/>
        <v>0.27</v>
      </c>
      <c r="K41" s="71">
        <f t="shared" ca="1" si="15"/>
        <v>0.15500000000000003</v>
      </c>
      <c r="L41" s="72">
        <v>0.04</v>
      </c>
    </row>
    <row r="42" spans="1:12" ht="13.25" customHeight="1" x14ac:dyDescent="0.15">
      <c r="B42" s="7"/>
      <c r="C42" s="7"/>
      <c r="D42" s="7"/>
      <c r="E42" s="65"/>
      <c r="F42" s="65"/>
      <c r="G42" s="69"/>
      <c r="H42" s="11"/>
      <c r="I42" s="11"/>
      <c r="J42" s="11"/>
      <c r="K42" s="11"/>
      <c r="L42" s="11"/>
    </row>
    <row r="43" spans="1:12" s="108" customFormat="1" ht="13.25" customHeight="1" x14ac:dyDescent="0.15">
      <c r="A43" s="114"/>
      <c r="B43" s="17" t="s">
        <v>77</v>
      </c>
      <c r="C43" s="17"/>
      <c r="D43" s="17"/>
      <c r="E43" s="16">
        <v>700</v>
      </c>
      <c r="F43" s="16">
        <v>536</v>
      </c>
      <c r="G43" s="59">
        <v>566</v>
      </c>
      <c r="H43" s="10">
        <f ca="1">+G43*(1+H44)</f>
        <v>735.80000000000007</v>
      </c>
      <c r="I43" s="10">
        <f ca="1">+H43*(1+I44)</f>
        <v>908.71299999999997</v>
      </c>
      <c r="J43" s="10">
        <f ca="1">+I43*(1+J44)</f>
        <v>1063.1942099999999</v>
      </c>
      <c r="K43" s="10">
        <f ca="1">+J43*(1+K44)</f>
        <v>1174.8296020499999</v>
      </c>
      <c r="L43" s="10">
        <f ca="1">+K43*(1+L44)</f>
        <v>1221.8227861319999</v>
      </c>
    </row>
    <row r="44" spans="1:12" ht="13.25" customHeight="1" x14ac:dyDescent="0.15">
      <c r="B44" s="54" t="s">
        <v>78</v>
      </c>
      <c r="C44" s="54"/>
      <c r="D44" s="54"/>
      <c r="E44" s="67" t="str">
        <f>+IFERROR(E43/#REF!-1,"NA")</f>
        <v>NA</v>
      </c>
      <c r="F44" s="67">
        <f>+IFERROR(F43/E43-1,"NA")</f>
        <v>-0.23428571428571432</v>
      </c>
      <c r="G44" s="68">
        <f>+IFERROR(G43/F43-1,"NA")</f>
        <v>5.5970149253731449E-2</v>
      </c>
      <c r="H44" s="67">
        <f ca="1">+OFFSET(H44,$H$3,0)</f>
        <v>0.3</v>
      </c>
      <c r="I44" s="67">
        <f ca="1">+OFFSET(I44,$H$3,0)</f>
        <v>0.23499999999999999</v>
      </c>
      <c r="J44" s="67">
        <f ca="1">+OFFSET(J44,$H$3,0)</f>
        <v>0.16999999999999998</v>
      </c>
      <c r="K44" s="67">
        <f ca="1">+OFFSET(K44,$H$3,0)</f>
        <v>0.10499999999999998</v>
      </c>
      <c r="L44" s="67">
        <f ca="1">+OFFSET(L44,$H$3,0)</f>
        <v>0.04</v>
      </c>
    </row>
    <row r="45" spans="1:12" ht="13.25" customHeight="1" x14ac:dyDescent="0.15">
      <c r="B45" s="7" t="s">
        <v>70</v>
      </c>
      <c r="C45" s="7"/>
      <c r="D45" s="7"/>
      <c r="E45" s="65"/>
      <c r="F45" s="65"/>
      <c r="G45" s="69"/>
      <c r="H45" s="70">
        <v>0.18</v>
      </c>
      <c r="I45" s="71">
        <f ca="1">+H45-($H45-$L45)/COUNTA($H45:$K45)</f>
        <v>0.14499999999999999</v>
      </c>
      <c r="J45" s="71">
        <f t="shared" ref="J45:K45" ca="1" si="16">+I45-($H45-$L45)/COUNTA($H45:$K45)</f>
        <v>0.10999999999999999</v>
      </c>
      <c r="K45" s="71">
        <f t="shared" ca="1" si="16"/>
        <v>7.4999999999999983E-2</v>
      </c>
      <c r="L45" s="72">
        <v>0.04</v>
      </c>
    </row>
    <row r="46" spans="1:12" ht="13.25" customHeight="1" x14ac:dyDescent="0.15">
      <c r="B46" s="7" t="s">
        <v>71</v>
      </c>
      <c r="C46" s="7"/>
      <c r="D46" s="7"/>
      <c r="E46" s="65"/>
      <c r="F46" s="65"/>
      <c r="G46" s="69"/>
      <c r="H46" s="73">
        <v>0.3</v>
      </c>
      <c r="I46" s="71">
        <f t="shared" ref="I46:K47" ca="1" si="17">+H46-($H46-$L46)/COUNTA($H46:$K46)</f>
        <v>0.23499999999999999</v>
      </c>
      <c r="J46" s="71">
        <f t="shared" ca="1" si="17"/>
        <v>0.16999999999999998</v>
      </c>
      <c r="K46" s="71">
        <f t="shared" ca="1" si="17"/>
        <v>0.10499999999999998</v>
      </c>
      <c r="L46" s="72">
        <v>0.04</v>
      </c>
    </row>
    <row r="47" spans="1:12" ht="13.25" customHeight="1" x14ac:dyDescent="0.15">
      <c r="B47" s="7" t="s">
        <v>72</v>
      </c>
      <c r="C47" s="7"/>
      <c r="D47" s="7"/>
      <c r="E47" s="65"/>
      <c r="F47" s="65"/>
      <c r="G47" s="69"/>
      <c r="H47" s="73">
        <v>0.12</v>
      </c>
      <c r="I47" s="71">
        <f t="shared" ca="1" si="17"/>
        <v>0.1</v>
      </c>
      <c r="J47" s="71">
        <f t="shared" ca="1" si="17"/>
        <v>8.0000000000000016E-2</v>
      </c>
      <c r="K47" s="71">
        <f t="shared" ca="1" si="17"/>
        <v>6.0000000000000019E-2</v>
      </c>
      <c r="L47" s="72">
        <v>0.04</v>
      </c>
    </row>
    <row r="48" spans="1:12" ht="13.25" customHeight="1" x14ac:dyDescent="0.15">
      <c r="B48" s="7"/>
      <c r="C48" s="7"/>
      <c r="D48" s="7"/>
      <c r="E48" s="65"/>
      <c r="F48" s="65"/>
      <c r="G48" s="69"/>
      <c r="H48" s="11"/>
      <c r="I48" s="11"/>
      <c r="J48" s="11"/>
      <c r="K48" s="11"/>
      <c r="L48" s="11"/>
    </row>
    <row r="49" spans="1:12" s="108" customFormat="1" ht="13.25" customHeight="1" x14ac:dyDescent="0.15">
      <c r="A49" s="114"/>
      <c r="B49" s="1" t="s">
        <v>79</v>
      </c>
      <c r="C49" s="1"/>
      <c r="D49" s="1"/>
      <c r="E49" s="16">
        <v>505</v>
      </c>
      <c r="F49" s="16">
        <v>631</v>
      </c>
      <c r="G49" s="59">
        <v>1162</v>
      </c>
      <c r="H49" s="10">
        <f ca="1">+G49*(1+H50)</f>
        <v>1394.3999999999999</v>
      </c>
      <c r="I49" s="10">
        <f ca="1">+H49*(1+I50)</f>
        <v>1617.5039999999997</v>
      </c>
      <c r="J49" s="10">
        <f ca="1">+I49*(1+J50)</f>
        <v>1811.6044799999997</v>
      </c>
      <c r="K49" s="10">
        <f ca="1">+J49*(1+K50)</f>
        <v>1956.5328383999999</v>
      </c>
      <c r="L49" s="10">
        <f ca="1">+K49*(1+L50)</f>
        <v>2034.7941519359999</v>
      </c>
    </row>
    <row r="50" spans="1:12" ht="13.25" customHeight="1" x14ac:dyDescent="0.15">
      <c r="B50" s="54" t="s">
        <v>80</v>
      </c>
      <c r="C50" s="54"/>
      <c r="D50" s="54"/>
      <c r="E50" s="67" t="str">
        <f>+IFERROR(E49/#REF!-1,"NA")</f>
        <v>NA</v>
      </c>
      <c r="F50" s="67">
        <f>+IFERROR(F49/E49-1,"NA")</f>
        <v>0.2495049504950495</v>
      </c>
      <c r="G50" s="68">
        <f>+IFERROR(G49/F49-1,"NA")</f>
        <v>0.84152139461172748</v>
      </c>
      <c r="H50" s="67">
        <f ca="1">+OFFSET(H50,$H$3,0)</f>
        <v>0.2</v>
      </c>
      <c r="I50" s="67">
        <f ca="1">+OFFSET(I50,$H$3,0)</f>
        <v>0.16</v>
      </c>
      <c r="J50" s="67">
        <f ca="1">+OFFSET(J50,$H$3,0)</f>
        <v>0.12</v>
      </c>
      <c r="K50" s="67">
        <f ca="1">+OFFSET(K50,$H$3,0)</f>
        <v>7.9999999999999988E-2</v>
      </c>
      <c r="L50" s="67">
        <f ca="1">+OFFSET(L50,$H$3,0)</f>
        <v>0.04</v>
      </c>
    </row>
    <row r="51" spans="1:12" ht="13.25" customHeight="1" x14ac:dyDescent="0.15">
      <c r="B51" s="7" t="s">
        <v>70</v>
      </c>
      <c r="C51" s="7"/>
      <c r="D51" s="7"/>
      <c r="E51" s="65"/>
      <c r="F51" s="65"/>
      <c r="G51" s="69"/>
      <c r="H51" s="70">
        <v>0.15</v>
      </c>
      <c r="I51" s="71">
        <f ca="1">+H51-($H51-$L51)/COUNTA($H51:$K51)</f>
        <v>0.1225</v>
      </c>
      <c r="J51" s="71">
        <f t="shared" ref="J51:K51" ca="1" si="18">+I51-($H51-$L51)/COUNTA($H51:$K51)</f>
        <v>9.5000000000000001E-2</v>
      </c>
      <c r="K51" s="71">
        <f t="shared" ca="1" si="18"/>
        <v>6.7500000000000004E-2</v>
      </c>
      <c r="L51" s="72">
        <v>0.04</v>
      </c>
    </row>
    <row r="52" spans="1:12" ht="13.25" customHeight="1" x14ac:dyDescent="0.15">
      <c r="B52" s="7" t="s">
        <v>71</v>
      </c>
      <c r="C52" s="7"/>
      <c r="D52" s="7"/>
      <c r="E52" s="65"/>
      <c r="F52" s="65"/>
      <c r="G52" s="69"/>
      <c r="H52" s="73">
        <v>0.2</v>
      </c>
      <c r="I52" s="71">
        <f t="shared" ref="I52:K53" ca="1" si="19">+H52-($H52-$L52)/COUNTA($H52:$K52)</f>
        <v>0.16</v>
      </c>
      <c r="J52" s="71">
        <f t="shared" ca="1" si="19"/>
        <v>0.12</v>
      </c>
      <c r="K52" s="71">
        <f t="shared" ca="1" si="19"/>
        <v>7.9999999999999988E-2</v>
      </c>
      <c r="L52" s="72">
        <v>0.04</v>
      </c>
    </row>
    <row r="53" spans="1:12" ht="13.25" customHeight="1" x14ac:dyDescent="0.15">
      <c r="B53" s="7" t="s">
        <v>72</v>
      </c>
      <c r="C53" s="7"/>
      <c r="D53" s="7"/>
      <c r="E53" s="65"/>
      <c r="F53" s="65"/>
      <c r="G53" s="69"/>
      <c r="H53" s="73">
        <v>0.1</v>
      </c>
      <c r="I53" s="71">
        <f t="shared" ca="1" si="19"/>
        <v>8.5000000000000006E-2</v>
      </c>
      <c r="J53" s="71">
        <f t="shared" ca="1" si="19"/>
        <v>7.0000000000000007E-2</v>
      </c>
      <c r="K53" s="71">
        <f t="shared" ca="1" si="19"/>
        <v>5.5000000000000007E-2</v>
      </c>
      <c r="L53" s="72">
        <v>0.04</v>
      </c>
    </row>
    <row r="54" spans="1:12" ht="13.25" customHeight="1" x14ac:dyDescent="0.15">
      <c r="B54" s="7"/>
      <c r="C54" s="7"/>
      <c r="D54" s="7"/>
      <c r="E54" s="65"/>
      <c r="F54" s="65"/>
      <c r="G54" s="69"/>
      <c r="H54" s="11"/>
      <c r="I54" s="11"/>
      <c r="J54" s="11"/>
      <c r="K54" s="11"/>
      <c r="L54" s="11"/>
    </row>
    <row r="55" spans="1:12" ht="13.25" customHeight="1" x14ac:dyDescent="0.15">
      <c r="B55" s="1" t="s">
        <v>62</v>
      </c>
      <c r="C55" s="1"/>
      <c r="D55" s="32"/>
      <c r="E55" s="10">
        <f t="shared" ref="E55:L55" si="20">+E25+E31+E37+E43+E49</f>
        <v>10918</v>
      </c>
      <c r="F55" s="10">
        <f t="shared" si="20"/>
        <v>16675</v>
      </c>
      <c r="G55" s="60">
        <f t="shared" si="20"/>
        <v>26914</v>
      </c>
      <c r="H55" s="10">
        <f t="shared" ca="1" si="20"/>
        <v>50009.80000000001</v>
      </c>
      <c r="I55" s="10">
        <f t="shared" ca="1" si="20"/>
        <v>83429.573000000004</v>
      </c>
      <c r="J55" s="10">
        <f t="shared" ca="1" si="20"/>
        <v>122236.41221000001</v>
      </c>
      <c r="K55" s="10">
        <f t="shared" ca="1" si="20"/>
        <v>153350.07155005002</v>
      </c>
      <c r="L55" s="10">
        <f t="shared" ca="1" si="20"/>
        <v>159484.074412052</v>
      </c>
    </row>
    <row r="56" spans="1:12" ht="13.25" customHeight="1" x14ac:dyDescent="0.15">
      <c r="B56" s="54" t="s">
        <v>81</v>
      </c>
      <c r="C56" s="54"/>
      <c r="D56" s="54"/>
      <c r="E56" s="74" t="str">
        <f>+IFERROR(E55/#REF!-1,"NA")</f>
        <v>NA</v>
      </c>
      <c r="F56" s="74">
        <f>+IFERROR(F55/E55-1,"NA")</f>
        <v>0.52729437625938824</v>
      </c>
      <c r="G56" s="75">
        <f t="shared" ref="G56:L56" si="21">+IFERROR(G55/F55-1,"NA")</f>
        <v>0.61403298350824587</v>
      </c>
      <c r="H56" s="74">
        <f t="shared" ca="1" si="21"/>
        <v>0.85813331351712896</v>
      </c>
      <c r="I56" s="74">
        <f t="shared" ca="1" si="21"/>
        <v>0.668264480161888</v>
      </c>
      <c r="J56" s="74">
        <f t="shared" ca="1" si="21"/>
        <v>0.46514488585480351</v>
      </c>
      <c r="K56" s="74">
        <f t="shared" ca="1" si="21"/>
        <v>0.2545367519998647</v>
      </c>
      <c r="L56" s="74">
        <f t="shared" ca="1" si="21"/>
        <v>3.9999999999999813E-2</v>
      </c>
    </row>
    <row r="57" spans="1:12" ht="13.25" customHeight="1" x14ac:dyDescent="0.15">
      <c r="B57" s="1"/>
      <c r="C57" s="1"/>
      <c r="D57" s="1"/>
      <c r="E57" s="15"/>
      <c r="F57" s="15"/>
      <c r="G57" s="61"/>
      <c r="H57" s="15"/>
      <c r="I57" s="15"/>
      <c r="J57" s="15"/>
      <c r="K57" s="15"/>
      <c r="L57" s="15"/>
    </row>
    <row r="58" spans="1:12" ht="13.25" customHeight="1" x14ac:dyDescent="0.15">
      <c r="A58" s="114" t="s">
        <v>0</v>
      </c>
      <c r="B58" s="30" t="s">
        <v>82</v>
      </c>
      <c r="C58" s="30"/>
      <c r="D58" s="30"/>
      <c r="E58" s="31"/>
      <c r="F58" s="31"/>
      <c r="G58" s="31"/>
      <c r="H58" s="31"/>
      <c r="I58" s="31"/>
      <c r="J58" s="31"/>
      <c r="K58" s="31"/>
      <c r="L58" s="31"/>
    </row>
    <row r="59" spans="1:12" ht="13.25" customHeight="1" x14ac:dyDescent="0.15">
      <c r="B59" s="54" t="s">
        <v>173</v>
      </c>
      <c r="C59" s="54"/>
      <c r="D59" s="54"/>
      <c r="E59" s="52">
        <f>+E$7</f>
        <v>43856</v>
      </c>
      <c r="F59" s="52">
        <f t="shared" ref="F59:L59" si="22">+F$7</f>
        <v>44227</v>
      </c>
      <c r="G59" s="113">
        <f t="shared" si="22"/>
        <v>44592</v>
      </c>
      <c r="H59" s="53">
        <f t="shared" si="22"/>
        <v>44957</v>
      </c>
      <c r="I59" s="53">
        <f t="shared" si="22"/>
        <v>45322</v>
      </c>
      <c r="J59" s="53">
        <f t="shared" si="22"/>
        <v>45688</v>
      </c>
      <c r="K59" s="53">
        <f t="shared" si="22"/>
        <v>46053</v>
      </c>
      <c r="L59" s="53">
        <f t="shared" si="22"/>
        <v>46418</v>
      </c>
    </row>
    <row r="60" spans="1:12" ht="13.25" customHeight="1" x14ac:dyDescent="0.15">
      <c r="G60" s="109"/>
    </row>
    <row r="61" spans="1:12" s="108" customFormat="1" ht="13.25" customHeight="1" x14ac:dyDescent="0.15">
      <c r="A61" s="115"/>
      <c r="B61" s="76" t="s">
        <v>83</v>
      </c>
      <c r="C61" s="76"/>
      <c r="D61" s="76"/>
      <c r="E61" s="77">
        <f>E11/E$9</f>
        <v>0.61989375343469499</v>
      </c>
      <c r="F61" s="77">
        <f>F11/F$9</f>
        <v>0.62344827586206897</v>
      </c>
      <c r="G61" s="78">
        <f>G11/G$9</f>
        <v>0.64929033216913135</v>
      </c>
      <c r="H61" s="79">
        <f ca="1">+OFFSET(H61,$H$3,0)</f>
        <v>0.68</v>
      </c>
      <c r="I61" s="79">
        <f ca="1">+OFFSET(I61,$H$3,0)</f>
        <v>0.69000000000000006</v>
      </c>
      <c r="J61" s="79">
        <f ca="1">+OFFSET(J61,$H$3,0)</f>
        <v>0.70000000000000007</v>
      </c>
      <c r="K61" s="79">
        <f ca="1">+OFFSET(K61,$H$3,0)</f>
        <v>0.71000000000000008</v>
      </c>
      <c r="L61" s="79">
        <f ca="1">+OFFSET(L61,$H$3,0)</f>
        <v>0.72</v>
      </c>
    </row>
    <row r="62" spans="1:12" ht="13.25" customHeight="1" x14ac:dyDescent="0.15">
      <c r="B62" s="7" t="s">
        <v>70</v>
      </c>
      <c r="C62" s="7"/>
      <c r="D62" s="7"/>
      <c r="E62" s="65"/>
      <c r="F62" s="65"/>
      <c r="G62" s="69"/>
      <c r="H62" s="70">
        <v>0.65</v>
      </c>
      <c r="I62" s="71">
        <f ca="1">+H62-($H62-$L62)/COUNTA($H62:$K62)</f>
        <v>0.65875000000000006</v>
      </c>
      <c r="J62" s="71">
        <f t="shared" ref="J62:K62" ca="1" si="23">+I62-($H62-$L62)/COUNTA($H62:$K62)</f>
        <v>0.66750000000000009</v>
      </c>
      <c r="K62" s="71">
        <f t="shared" ca="1" si="23"/>
        <v>0.67625000000000013</v>
      </c>
      <c r="L62" s="72">
        <v>0.68500000000000005</v>
      </c>
    </row>
    <row r="63" spans="1:12" ht="13.25" customHeight="1" x14ac:dyDescent="0.15">
      <c r="B63" s="7" t="s">
        <v>71</v>
      </c>
      <c r="C63" s="7"/>
      <c r="D63" s="7"/>
      <c r="E63" s="65"/>
      <c r="F63" s="65"/>
      <c r="G63" s="69"/>
      <c r="H63" s="73">
        <v>0.68</v>
      </c>
      <c r="I63" s="71">
        <f t="shared" ref="I63:K64" ca="1" si="24">+H63-($H63-$L63)/COUNTA($H63:$K63)</f>
        <v>0.69000000000000006</v>
      </c>
      <c r="J63" s="71">
        <f t="shared" ca="1" si="24"/>
        <v>0.70000000000000007</v>
      </c>
      <c r="K63" s="71">
        <f t="shared" ca="1" si="24"/>
        <v>0.71000000000000008</v>
      </c>
      <c r="L63" s="80">
        <v>0.72</v>
      </c>
    </row>
    <row r="64" spans="1:12" ht="13.25" customHeight="1" x14ac:dyDescent="0.15">
      <c r="B64" s="7" t="s">
        <v>72</v>
      </c>
      <c r="C64" s="7"/>
      <c r="D64" s="7"/>
      <c r="E64" s="65"/>
      <c r="F64" s="65"/>
      <c r="G64" s="69"/>
      <c r="H64" s="73">
        <v>0.625</v>
      </c>
      <c r="I64" s="71">
        <f t="shared" ca="1" si="24"/>
        <v>0.61875000000000002</v>
      </c>
      <c r="J64" s="71">
        <f t="shared" ca="1" si="24"/>
        <v>0.61250000000000004</v>
      </c>
      <c r="K64" s="71">
        <f t="shared" ca="1" si="24"/>
        <v>0.60625000000000007</v>
      </c>
      <c r="L64" s="80">
        <v>0.6</v>
      </c>
    </row>
    <row r="65" spans="1:12" ht="13.25" customHeight="1" x14ac:dyDescent="0.15">
      <c r="B65" s="7"/>
      <c r="C65" s="7"/>
      <c r="D65" s="7"/>
      <c r="E65" s="65"/>
      <c r="F65" s="65"/>
      <c r="G65" s="69"/>
      <c r="H65" s="11"/>
      <c r="I65" s="11"/>
      <c r="J65" s="11"/>
      <c r="K65" s="11"/>
      <c r="L65" s="11"/>
    </row>
    <row r="66" spans="1:12" s="108" customFormat="1" ht="13.25" customHeight="1" x14ac:dyDescent="0.15">
      <c r="A66" s="115"/>
      <c r="B66" s="76" t="s">
        <v>84</v>
      </c>
      <c r="C66" s="76"/>
      <c r="D66" s="76"/>
      <c r="E66" s="77">
        <f>-E12/E$9</f>
        <v>0.25911339073090311</v>
      </c>
      <c r="F66" s="77">
        <f>-F12/F$9</f>
        <v>0.2353223388305847</v>
      </c>
      <c r="G66" s="78">
        <f>-G12/G$9</f>
        <v>0.19573456193802483</v>
      </c>
      <c r="H66" s="79">
        <f ca="1">+OFFSET(H66,$H$3,0)</f>
        <v>0.185</v>
      </c>
      <c r="I66" s="79">
        <f ca="1">+OFFSET(I66,$H$3,0)</f>
        <v>0.17874999999999999</v>
      </c>
      <c r="J66" s="79">
        <f ca="1">+OFFSET(J66,$H$3,0)</f>
        <v>0.17249999999999999</v>
      </c>
      <c r="K66" s="79">
        <f ca="1">+OFFSET(K66,$H$3,0)</f>
        <v>0.16624999999999998</v>
      </c>
      <c r="L66" s="79">
        <f ca="1">+OFFSET(L66,$H$3,0)</f>
        <v>0.16</v>
      </c>
    </row>
    <row r="67" spans="1:12" ht="13.25" customHeight="1" x14ac:dyDescent="0.15">
      <c r="B67" s="7" t="s">
        <v>70</v>
      </c>
      <c r="C67" s="7"/>
      <c r="D67" s="7"/>
      <c r="E67" s="65"/>
      <c r="F67" s="65"/>
      <c r="G67" s="69"/>
      <c r="H67" s="70">
        <v>0.2</v>
      </c>
      <c r="I67" s="71">
        <f ca="1">+H67-($H67-$L67)/COUNTA($H67:$K67)</f>
        <v>0.19500000000000001</v>
      </c>
      <c r="J67" s="71">
        <f t="shared" ref="J67:K67" ca="1" si="25">+I67-($H67-$L67)/COUNTA($H67:$K67)</f>
        <v>0.19</v>
      </c>
      <c r="K67" s="71">
        <f t="shared" ca="1" si="25"/>
        <v>0.185</v>
      </c>
      <c r="L67" s="72">
        <v>0.18</v>
      </c>
    </row>
    <row r="68" spans="1:12" ht="13.25" customHeight="1" x14ac:dyDescent="0.15">
      <c r="B68" s="7" t="s">
        <v>71</v>
      </c>
      <c r="C68" s="7"/>
      <c r="D68" s="7"/>
      <c r="E68" s="65"/>
      <c r="F68" s="65"/>
      <c r="G68" s="69"/>
      <c r="H68" s="73">
        <v>0.185</v>
      </c>
      <c r="I68" s="71">
        <f t="shared" ref="I68:K69" ca="1" si="26">+H68-($H68-$L68)/COUNTA($H68:$K68)</f>
        <v>0.17874999999999999</v>
      </c>
      <c r="J68" s="71">
        <f t="shared" ca="1" si="26"/>
        <v>0.17249999999999999</v>
      </c>
      <c r="K68" s="71">
        <f t="shared" ca="1" si="26"/>
        <v>0.16624999999999998</v>
      </c>
      <c r="L68" s="80">
        <v>0.16</v>
      </c>
    </row>
    <row r="69" spans="1:12" ht="13.25" customHeight="1" x14ac:dyDescent="0.15">
      <c r="B69" s="7" t="s">
        <v>72</v>
      </c>
      <c r="C69" s="7"/>
      <c r="D69" s="7"/>
      <c r="E69" s="65"/>
      <c r="F69" s="65"/>
      <c r="G69" s="69"/>
      <c r="H69" s="73">
        <v>0.22</v>
      </c>
      <c r="I69" s="71">
        <f t="shared" ca="1" si="26"/>
        <v>0.215</v>
      </c>
      <c r="J69" s="71">
        <f t="shared" ca="1" si="26"/>
        <v>0.21</v>
      </c>
      <c r="K69" s="71">
        <f t="shared" ca="1" si="26"/>
        <v>0.20499999999999999</v>
      </c>
      <c r="L69" s="80">
        <v>0.2</v>
      </c>
    </row>
    <row r="70" spans="1:12" ht="13.25" customHeight="1" x14ac:dyDescent="0.15">
      <c r="A70" s="116"/>
      <c r="B70" s="107"/>
      <c r="C70" s="107"/>
      <c r="D70" s="107"/>
      <c r="E70" s="65"/>
      <c r="F70" s="65"/>
      <c r="G70" s="69"/>
      <c r="H70" s="65"/>
      <c r="I70" s="65"/>
      <c r="J70" s="65"/>
      <c r="K70" s="65"/>
      <c r="L70" s="65"/>
    </row>
    <row r="71" spans="1:12" s="108" customFormat="1" ht="13.25" customHeight="1" x14ac:dyDescent="0.15">
      <c r="A71" s="115"/>
      <c r="B71" s="76" t="s">
        <v>85</v>
      </c>
      <c r="C71" s="76"/>
      <c r="D71" s="76"/>
      <c r="E71" s="77">
        <f>-E13/E$9</f>
        <v>0.10010991023997069</v>
      </c>
      <c r="F71" s="77">
        <f>-F13/F$9</f>
        <v>0.11634182908545727</v>
      </c>
      <c r="G71" s="78">
        <f>-G13/G$9</f>
        <v>8.0478561343538674E-2</v>
      </c>
      <c r="H71" s="79">
        <f ca="1">+OFFSET(H71,$H$3,0)</f>
        <v>0.08</v>
      </c>
      <c r="I71" s="79">
        <f ca="1">+OFFSET(I71,$H$3,0)</f>
        <v>7.4999999999999997E-2</v>
      </c>
      <c r="J71" s="79">
        <f ca="1">+OFFSET(J71,$H$3,0)</f>
        <v>6.9999999999999993E-2</v>
      </c>
      <c r="K71" s="79">
        <f ca="1">+OFFSET(K71,$H$3,0)</f>
        <v>6.4999999999999988E-2</v>
      </c>
      <c r="L71" s="79">
        <f ca="1">+OFFSET(L71,$H$3,0)</f>
        <v>0.06</v>
      </c>
    </row>
    <row r="72" spans="1:12" ht="13.25" customHeight="1" x14ac:dyDescent="0.15">
      <c r="B72" s="7" t="s">
        <v>70</v>
      </c>
      <c r="C72" s="7"/>
      <c r="D72" s="7"/>
      <c r="E72" s="65"/>
      <c r="F72" s="65"/>
      <c r="G72" s="69"/>
      <c r="H72" s="70">
        <v>8.5000000000000006E-2</v>
      </c>
      <c r="I72" s="71">
        <f ca="1">+H72-($H72-$L72)/COUNTA($H72:$K72)</f>
        <v>0.08</v>
      </c>
      <c r="J72" s="71">
        <f t="shared" ref="J72:K72" ca="1" si="27">+I72-($H72-$L72)/COUNTA($H72:$K72)</f>
        <v>7.4999999999999997E-2</v>
      </c>
      <c r="K72" s="71">
        <f t="shared" ca="1" si="27"/>
        <v>6.9999999999999993E-2</v>
      </c>
      <c r="L72" s="72">
        <v>6.5000000000000002E-2</v>
      </c>
    </row>
    <row r="73" spans="1:12" ht="13.25" customHeight="1" x14ac:dyDescent="0.15">
      <c r="B73" s="7" t="s">
        <v>71</v>
      </c>
      <c r="C73" s="7"/>
      <c r="D73" s="7"/>
      <c r="E73" s="65"/>
      <c r="F73" s="65"/>
      <c r="G73" s="69"/>
      <c r="H73" s="73">
        <v>0.08</v>
      </c>
      <c r="I73" s="71">
        <f t="shared" ref="I73:K74" ca="1" si="28">+H73-($H73-$L73)/COUNTA($H73:$K73)</f>
        <v>7.4999999999999997E-2</v>
      </c>
      <c r="J73" s="71">
        <f t="shared" ca="1" si="28"/>
        <v>6.9999999999999993E-2</v>
      </c>
      <c r="K73" s="71">
        <f t="shared" ca="1" si="28"/>
        <v>6.4999999999999988E-2</v>
      </c>
      <c r="L73" s="80">
        <v>0.06</v>
      </c>
    </row>
    <row r="74" spans="1:12" ht="13.25" customHeight="1" x14ac:dyDescent="0.15">
      <c r="B74" s="7" t="s">
        <v>72</v>
      </c>
      <c r="C74" s="7"/>
      <c r="D74" s="7"/>
      <c r="E74" s="65"/>
      <c r="F74" s="65"/>
      <c r="G74" s="69"/>
      <c r="H74" s="73">
        <v>0.1</v>
      </c>
      <c r="I74" s="71">
        <f t="shared" ca="1" si="28"/>
        <v>9.7500000000000003E-2</v>
      </c>
      <c r="J74" s="71">
        <f t="shared" ca="1" si="28"/>
        <v>9.5000000000000001E-2</v>
      </c>
      <c r="K74" s="71">
        <f t="shared" ca="1" si="28"/>
        <v>9.2499999999999999E-2</v>
      </c>
      <c r="L74" s="80">
        <v>0.09</v>
      </c>
    </row>
    <row r="75" spans="1:12" ht="13.25" customHeight="1" x14ac:dyDescent="0.15">
      <c r="A75" s="116"/>
      <c r="B75" s="107"/>
      <c r="C75" s="107"/>
      <c r="D75" s="107"/>
      <c r="E75" s="65"/>
      <c r="F75" s="65"/>
      <c r="G75" s="69"/>
      <c r="H75" s="65"/>
      <c r="I75" s="65"/>
      <c r="J75" s="65"/>
      <c r="K75" s="65"/>
      <c r="L75" s="65"/>
    </row>
    <row r="76" spans="1:12" ht="13.25" customHeight="1" x14ac:dyDescent="0.15">
      <c r="A76" s="114" t="s">
        <v>0</v>
      </c>
      <c r="B76" s="30" t="s">
        <v>11</v>
      </c>
      <c r="C76" s="30"/>
      <c r="D76" s="30"/>
      <c r="E76" s="31"/>
      <c r="F76" s="31"/>
      <c r="G76" s="31"/>
      <c r="H76" s="31"/>
      <c r="I76" s="31"/>
      <c r="J76" s="31"/>
      <c r="K76" s="31"/>
      <c r="L76" s="31"/>
    </row>
    <row r="77" spans="1:12" ht="13.25" customHeight="1" x14ac:dyDescent="0.15">
      <c r="B77" s="54" t="s">
        <v>173</v>
      </c>
      <c r="C77" s="54"/>
      <c r="D77" s="54"/>
      <c r="E77" s="52">
        <f>+E$7</f>
        <v>43856</v>
      </c>
      <c r="F77" s="52">
        <f t="shared" ref="F77:L77" si="29">+F$7</f>
        <v>44227</v>
      </c>
      <c r="G77" s="113">
        <f t="shared" si="29"/>
        <v>44592</v>
      </c>
      <c r="H77" s="53">
        <f t="shared" si="29"/>
        <v>44957</v>
      </c>
      <c r="I77" s="53">
        <f t="shared" si="29"/>
        <v>45322</v>
      </c>
      <c r="J77" s="53">
        <f t="shared" si="29"/>
        <v>45688</v>
      </c>
      <c r="K77" s="53">
        <f t="shared" si="29"/>
        <v>46053</v>
      </c>
      <c r="L77" s="53">
        <f t="shared" si="29"/>
        <v>46418</v>
      </c>
    </row>
    <row r="78" spans="1:12" ht="13.25" customHeight="1" x14ac:dyDescent="0.15">
      <c r="G78" s="109"/>
    </row>
    <row r="79" spans="1:12" ht="13.25" customHeight="1" x14ac:dyDescent="0.15">
      <c r="B79" s="7" t="s">
        <v>6</v>
      </c>
      <c r="C79" s="7"/>
      <c r="D79" s="7"/>
      <c r="E79" s="81">
        <f t="shared" ref="E79:L79" si="30">+E14</f>
        <v>2846</v>
      </c>
      <c r="F79" s="81">
        <f t="shared" si="30"/>
        <v>4532</v>
      </c>
      <c r="G79" s="82">
        <f t="shared" si="30"/>
        <v>10041</v>
      </c>
      <c r="H79" s="81">
        <f t="shared" ca="1" si="30"/>
        <v>20754.06700000001</v>
      </c>
      <c r="I79" s="81">
        <f t="shared" ca="1" si="30"/>
        <v>36396.151221250009</v>
      </c>
      <c r="J79" s="81">
        <f t="shared" ca="1" si="30"/>
        <v>55923.15858607502</v>
      </c>
      <c r="K79" s="81">
        <f t="shared" ca="1" si="30"/>
        <v>73416.34675458647</v>
      </c>
      <c r="L79" s="81">
        <f t="shared" ca="1" si="30"/>
        <v>79742.037206025998</v>
      </c>
    </row>
    <row r="80" spans="1:12" ht="13.25" customHeight="1" x14ac:dyDescent="0.15">
      <c r="B80" s="7" t="s">
        <v>12</v>
      </c>
      <c r="C80" s="7"/>
      <c r="D80" s="7"/>
      <c r="E80" s="11">
        <v>844</v>
      </c>
      <c r="F80" s="11">
        <v>1397</v>
      </c>
      <c r="G80" s="56">
        <v>2004</v>
      </c>
      <c r="H80" s="65">
        <f ca="1">+H90*H9</f>
        <v>4000.784000000001</v>
      </c>
      <c r="I80" s="65">
        <f ca="1">+I90*I9</f>
        <v>6257.2179750000005</v>
      </c>
      <c r="J80" s="65">
        <f ca="1">+J90*J9</f>
        <v>8556.5488547000004</v>
      </c>
      <c r="K80" s="65">
        <f ca="1">+K90*K9</f>
        <v>9967.7546507532497</v>
      </c>
      <c r="L80" s="65">
        <f ca="1">+L90*L9</f>
        <v>9569.0444647231197</v>
      </c>
    </row>
    <row r="81" spans="1:12" s="108" customFormat="1" ht="13.25" customHeight="1" x14ac:dyDescent="0.15">
      <c r="A81" s="115"/>
      <c r="B81" s="12" t="s">
        <v>87</v>
      </c>
      <c r="C81" s="12"/>
      <c r="D81" s="12"/>
      <c r="E81" s="163">
        <f>+E79+E80</f>
        <v>3690</v>
      </c>
      <c r="F81" s="163">
        <f t="shared" ref="F81:L81" si="31">+F79+F80</f>
        <v>5929</v>
      </c>
      <c r="G81" s="164">
        <f t="shared" si="31"/>
        <v>12045</v>
      </c>
      <c r="H81" s="163">
        <f t="shared" ca="1" si="31"/>
        <v>24754.85100000001</v>
      </c>
      <c r="I81" s="163">
        <f t="shared" ca="1" si="31"/>
        <v>42653.369196250009</v>
      </c>
      <c r="J81" s="163">
        <f t="shared" ca="1" si="31"/>
        <v>64479.707440775019</v>
      </c>
      <c r="K81" s="163">
        <f t="shared" ca="1" si="31"/>
        <v>83384.101405339723</v>
      </c>
      <c r="L81" s="163">
        <f t="shared" ca="1" si="31"/>
        <v>89311.081670749118</v>
      </c>
    </row>
    <row r="82" spans="1:12" ht="13.25" customHeight="1" x14ac:dyDescent="0.15">
      <c r="B82" s="7" t="s">
        <v>187</v>
      </c>
      <c r="C82" s="7"/>
      <c r="D82" s="7"/>
      <c r="E82" s="83">
        <f t="shared" ref="E82:L82" si="32">+E81/E$9</f>
        <v>0.3379739879098736</v>
      </c>
      <c r="F82" s="83">
        <f t="shared" si="32"/>
        <v>0.35556221889055473</v>
      </c>
      <c r="G82" s="84">
        <f t="shared" si="32"/>
        <v>0.4475365980530579</v>
      </c>
      <c r="H82" s="83">
        <f t="shared" ca="1" si="32"/>
        <v>0.49500000000000011</v>
      </c>
      <c r="I82" s="83">
        <f t="shared" ca="1" si="32"/>
        <v>0.51125000000000009</v>
      </c>
      <c r="J82" s="83">
        <f t="shared" ca="1" si="32"/>
        <v>0.52750000000000008</v>
      </c>
      <c r="K82" s="83">
        <f t="shared" ca="1" si="32"/>
        <v>0.54375000000000018</v>
      </c>
      <c r="L82" s="83">
        <f t="shared" ca="1" si="32"/>
        <v>0.56000000000000005</v>
      </c>
    </row>
    <row r="83" spans="1:12" ht="13.25" customHeight="1" x14ac:dyDescent="0.15">
      <c r="B83" s="7" t="s">
        <v>40</v>
      </c>
      <c r="C83" s="7"/>
      <c r="D83" s="7"/>
      <c r="E83" s="11">
        <v>381</v>
      </c>
      <c r="F83" s="11">
        <v>1098</v>
      </c>
      <c r="G83" s="56">
        <v>1174</v>
      </c>
      <c r="H83" s="65">
        <f ca="1">+H194</f>
        <v>1985.2744000000002</v>
      </c>
      <c r="I83" s="65">
        <f ca="1">+I194</f>
        <v>2807.4567406250003</v>
      </c>
      <c r="J83" s="65">
        <f ca="1">+J194</f>
        <v>3827.6195418800003</v>
      </c>
      <c r="K83" s="65">
        <f ca="1">+K194</f>
        <v>4357.2957265701316</v>
      </c>
      <c r="L83" s="65">
        <f ca="1">+L194</f>
        <v>4322.0700091254048</v>
      </c>
    </row>
    <row r="84" spans="1:12" ht="13.25" customHeight="1" x14ac:dyDescent="0.15">
      <c r="B84" s="12" t="s">
        <v>88</v>
      </c>
      <c r="C84" s="12"/>
      <c r="D84" s="12"/>
      <c r="E84" s="13">
        <f>+E81+E83</f>
        <v>4071</v>
      </c>
      <c r="F84" s="13">
        <f t="shared" ref="F84:L84" si="33">+F81+F83</f>
        <v>7027</v>
      </c>
      <c r="G84" s="57">
        <f t="shared" si="33"/>
        <v>13219</v>
      </c>
      <c r="H84" s="13">
        <f t="shared" ca="1" si="33"/>
        <v>26740.125400000012</v>
      </c>
      <c r="I84" s="13">
        <f t="shared" ca="1" si="33"/>
        <v>45460.825936875008</v>
      </c>
      <c r="J84" s="13">
        <f t="shared" ca="1" si="33"/>
        <v>68307.326982655024</v>
      </c>
      <c r="K84" s="13">
        <f t="shared" ca="1" si="33"/>
        <v>87741.397131909849</v>
      </c>
      <c r="L84" s="13">
        <f t="shared" ca="1" si="33"/>
        <v>93633.151679874529</v>
      </c>
    </row>
    <row r="85" spans="1:12" ht="13.25" customHeight="1" x14ac:dyDescent="0.15">
      <c r="B85" s="7" t="s">
        <v>89</v>
      </c>
      <c r="C85" s="7"/>
      <c r="D85" s="7"/>
      <c r="E85" s="83">
        <f t="shared" ref="E85:L85" si="34">+E84/E$9</f>
        <v>0.37287048910056786</v>
      </c>
      <c r="F85" s="83">
        <f t="shared" si="34"/>
        <v>0.42140929535232385</v>
      </c>
      <c r="G85" s="84">
        <f t="shared" si="34"/>
        <v>0.49115701865200267</v>
      </c>
      <c r="H85" s="83">
        <f t="shared" ca="1" si="34"/>
        <v>0.53469770724937926</v>
      </c>
      <c r="I85" s="83">
        <f t="shared" ca="1" si="34"/>
        <v>0.54490061859569872</v>
      </c>
      <c r="J85" s="83">
        <f t="shared" ca="1" si="34"/>
        <v>0.55881325169544604</v>
      </c>
      <c r="K85" s="83">
        <f t="shared" ca="1" si="34"/>
        <v>0.57216404430090551</v>
      </c>
      <c r="L85" s="83">
        <f t="shared" ca="1" si="34"/>
        <v>0.58710032349661867</v>
      </c>
    </row>
    <row r="86" spans="1:12" ht="13.25" customHeight="1" x14ac:dyDescent="0.15">
      <c r="B86" s="7" t="s">
        <v>174</v>
      </c>
      <c r="C86" s="7"/>
      <c r="D86" s="7"/>
      <c r="E86" s="11">
        <v>114</v>
      </c>
      <c r="F86" s="11">
        <v>145</v>
      </c>
      <c r="G86" s="56">
        <v>168</v>
      </c>
      <c r="H86" s="65">
        <v>176</v>
      </c>
      <c r="I86" s="65">
        <v>162</v>
      </c>
      <c r="J86" s="65">
        <v>136</v>
      </c>
      <c r="K86" s="65">
        <v>124</v>
      </c>
      <c r="L86" s="65">
        <v>114</v>
      </c>
    </row>
    <row r="87" spans="1:12" ht="13.25" customHeight="1" x14ac:dyDescent="0.15">
      <c r="B87" s="12" t="s">
        <v>175</v>
      </c>
      <c r="C87" s="12"/>
      <c r="D87" s="12"/>
      <c r="E87" s="13">
        <f>+E84+E86</f>
        <v>4185</v>
      </c>
      <c r="F87" s="13">
        <f>+F84+F86</f>
        <v>7172</v>
      </c>
      <c r="G87" s="57">
        <f t="shared" ref="G87" si="35">+G84+G86</f>
        <v>13387</v>
      </c>
      <c r="H87" s="13">
        <f ca="1">+H84+H86</f>
        <v>26916.125400000012</v>
      </c>
      <c r="I87" s="13">
        <f t="shared" ref="I87:L87" ca="1" si="36">+I84+I86</f>
        <v>45622.825936875008</v>
      </c>
      <c r="J87" s="13">
        <f t="shared" ca="1" si="36"/>
        <v>68443.326982655024</v>
      </c>
      <c r="K87" s="13">
        <f t="shared" ca="1" si="36"/>
        <v>87865.397131909849</v>
      </c>
      <c r="L87" s="13">
        <f t="shared" ca="1" si="36"/>
        <v>93747.151679874529</v>
      </c>
    </row>
    <row r="88" spans="1:12" ht="13.25" customHeight="1" x14ac:dyDescent="0.15">
      <c r="B88" s="7" t="s">
        <v>89</v>
      </c>
      <c r="C88" s="7"/>
      <c r="D88" s="7"/>
      <c r="E88" s="83">
        <f t="shared" ref="E88:L88" si="37">+E87/E$9</f>
        <v>0.38331196189778349</v>
      </c>
      <c r="F88" s="83">
        <f t="shared" si="37"/>
        <v>0.4301049475262369</v>
      </c>
      <c r="G88" s="84">
        <f t="shared" si="37"/>
        <v>0.49739912313294199</v>
      </c>
      <c r="H88" s="83">
        <f t="shared" ca="1" si="37"/>
        <v>0.53821701746457706</v>
      </c>
      <c r="I88" s="83">
        <f t="shared" ca="1" si="37"/>
        <v>0.54684237610655162</v>
      </c>
      <c r="J88" s="83">
        <f t="shared" ca="1" si="37"/>
        <v>0.55992584979564508</v>
      </c>
      <c r="K88" s="83">
        <f t="shared" ca="1" si="37"/>
        <v>0.57297265168365152</v>
      </c>
      <c r="L88" s="83">
        <f t="shared" ca="1" si="37"/>
        <v>0.58781512841002626</v>
      </c>
    </row>
    <row r="89" spans="1:12" ht="13.25" customHeight="1" x14ac:dyDescent="0.15">
      <c r="B89" s="7"/>
      <c r="C89" s="7"/>
      <c r="D89" s="7"/>
      <c r="E89" s="83"/>
      <c r="F89" s="83"/>
      <c r="G89" s="84"/>
      <c r="H89" s="83"/>
      <c r="I89" s="83"/>
      <c r="J89" s="83"/>
      <c r="K89" s="83"/>
      <c r="L89" s="83"/>
    </row>
    <row r="90" spans="1:12" s="108" customFormat="1" ht="13.25" customHeight="1" x14ac:dyDescent="0.15">
      <c r="A90" s="115"/>
      <c r="B90" s="76" t="s">
        <v>86</v>
      </c>
      <c r="C90" s="76"/>
      <c r="D90" s="76"/>
      <c r="E90" s="77">
        <f>+E80/E9</f>
        <v>7.7303535446052396E-2</v>
      </c>
      <c r="F90" s="77">
        <f>+F80/F9</f>
        <v>8.3778110944527737E-2</v>
      </c>
      <c r="G90" s="78">
        <f>+G80/G9</f>
        <v>7.4459389165490081E-2</v>
      </c>
      <c r="H90" s="79">
        <f ca="1">+OFFSET(H90,$H$3,0)</f>
        <v>0.08</v>
      </c>
      <c r="I90" s="79">
        <f ca="1">+OFFSET(I90,$H$3,0)</f>
        <v>7.4999999999999997E-2</v>
      </c>
      <c r="J90" s="79">
        <f ca="1">+OFFSET(J90,$H$3,0)</f>
        <v>6.9999999999999993E-2</v>
      </c>
      <c r="K90" s="79">
        <f ca="1">+OFFSET(K90,$H$3,0)</f>
        <v>6.4999999999999988E-2</v>
      </c>
      <c r="L90" s="79">
        <f ca="1">+OFFSET(L90,$H$3,0)</f>
        <v>0.06</v>
      </c>
    </row>
    <row r="91" spans="1:12" ht="13.25" customHeight="1" x14ac:dyDescent="0.15">
      <c r="B91" s="7" t="s">
        <v>70</v>
      </c>
      <c r="C91" s="7"/>
      <c r="D91" s="7"/>
      <c r="E91" s="65"/>
      <c r="F91" s="65"/>
      <c r="G91" s="69"/>
      <c r="H91" s="70">
        <v>8.5000000000000006E-2</v>
      </c>
      <c r="I91" s="71">
        <f ca="1">+H91-($H91-$L91)/COUNTA($H91:$K91)</f>
        <v>0.08</v>
      </c>
      <c r="J91" s="71">
        <f t="shared" ref="J91:J93" ca="1" si="38">+I91-($H91-$L91)/COUNTA($H91:$K91)</f>
        <v>7.4999999999999997E-2</v>
      </c>
      <c r="K91" s="71">
        <f t="shared" ref="K91:K93" ca="1" si="39">+J91-($H91-$L91)/COUNTA($H91:$K91)</f>
        <v>6.9999999999999993E-2</v>
      </c>
      <c r="L91" s="72">
        <v>6.5000000000000002E-2</v>
      </c>
    </row>
    <row r="92" spans="1:12" ht="13.25" customHeight="1" x14ac:dyDescent="0.15">
      <c r="B92" s="7" t="s">
        <v>71</v>
      </c>
      <c r="C92" s="7"/>
      <c r="D92" s="7"/>
      <c r="E92" s="65"/>
      <c r="F92" s="65"/>
      <c r="G92" s="69"/>
      <c r="H92" s="73">
        <v>0.08</v>
      </c>
      <c r="I92" s="71">
        <f t="shared" ref="I92:I93" ca="1" si="40">+H92-($H92-$L92)/COUNTA($H92:$K92)</f>
        <v>7.4999999999999997E-2</v>
      </c>
      <c r="J92" s="71">
        <f t="shared" ca="1" si="38"/>
        <v>6.9999999999999993E-2</v>
      </c>
      <c r="K92" s="71">
        <f t="shared" ca="1" si="39"/>
        <v>6.4999999999999988E-2</v>
      </c>
      <c r="L92" s="80">
        <v>0.06</v>
      </c>
    </row>
    <row r="93" spans="1:12" ht="13.25" customHeight="1" x14ac:dyDescent="0.15">
      <c r="B93" s="7" t="s">
        <v>72</v>
      </c>
      <c r="C93" s="7"/>
      <c r="D93" s="7"/>
      <c r="E93" s="65"/>
      <c r="F93" s="65"/>
      <c r="G93" s="69"/>
      <c r="H93" s="73">
        <v>0.1</v>
      </c>
      <c r="I93" s="71">
        <f t="shared" ca="1" si="40"/>
        <v>9.7500000000000003E-2</v>
      </c>
      <c r="J93" s="71">
        <f t="shared" ca="1" si="38"/>
        <v>9.5000000000000001E-2</v>
      </c>
      <c r="K93" s="71">
        <f t="shared" ca="1" si="39"/>
        <v>9.2499999999999999E-2</v>
      </c>
      <c r="L93" s="80">
        <v>0.09</v>
      </c>
    </row>
    <row r="94" spans="1:12" ht="13.25" customHeight="1" x14ac:dyDescent="0.15">
      <c r="B94" s="7"/>
      <c r="C94" s="7"/>
      <c r="D94" s="7"/>
      <c r="E94" s="65"/>
      <c r="F94" s="65"/>
      <c r="G94" s="69"/>
      <c r="H94" s="65"/>
      <c r="I94" s="65"/>
      <c r="J94" s="65"/>
      <c r="K94" s="65"/>
      <c r="L94" s="65"/>
    </row>
    <row r="95" spans="1:12" ht="13.25" customHeight="1" x14ac:dyDescent="0.15">
      <c r="A95" s="114" t="s">
        <v>0</v>
      </c>
      <c r="B95" s="30" t="s">
        <v>13</v>
      </c>
      <c r="C95" s="30"/>
      <c r="D95" s="30"/>
      <c r="E95" s="31"/>
      <c r="F95" s="31"/>
      <c r="G95" s="31"/>
      <c r="H95" s="31"/>
      <c r="I95" s="31"/>
      <c r="J95" s="31"/>
      <c r="K95" s="31"/>
      <c r="L95" s="31"/>
    </row>
    <row r="96" spans="1:12" ht="13.25" customHeight="1" x14ac:dyDescent="0.15">
      <c r="B96" s="54" t="s">
        <v>173</v>
      </c>
      <c r="C96" s="54"/>
      <c r="D96" s="54"/>
      <c r="E96" s="52">
        <f>+E$7</f>
        <v>43856</v>
      </c>
      <c r="F96" s="52">
        <f t="shared" ref="F96:L96" si="41">+F$7</f>
        <v>44227</v>
      </c>
      <c r="G96" s="113">
        <f t="shared" si="41"/>
        <v>44592</v>
      </c>
      <c r="H96" s="53">
        <f t="shared" si="41"/>
        <v>44957</v>
      </c>
      <c r="I96" s="53">
        <f t="shared" si="41"/>
        <v>45322</v>
      </c>
      <c r="J96" s="53">
        <f t="shared" si="41"/>
        <v>45688</v>
      </c>
      <c r="K96" s="53">
        <f t="shared" si="41"/>
        <v>46053</v>
      </c>
      <c r="L96" s="53">
        <f t="shared" si="41"/>
        <v>46418</v>
      </c>
    </row>
    <row r="97" spans="2:12" ht="13.25" customHeight="1" x14ac:dyDescent="0.15">
      <c r="G97" s="109"/>
    </row>
    <row r="98" spans="2:12" ht="13.25" customHeight="1" x14ac:dyDescent="0.15">
      <c r="B98" s="7" t="s">
        <v>14</v>
      </c>
      <c r="C98" s="7"/>
      <c r="D98" s="7"/>
      <c r="E98" s="65"/>
      <c r="F98" s="18">
        <f>847+10714</f>
        <v>11561</v>
      </c>
      <c r="G98" s="62">
        <f>1990+19218</f>
        <v>21208</v>
      </c>
      <c r="H98" s="81">
        <f ca="1">H213</f>
        <v>39853.324340100415</v>
      </c>
      <c r="I98" s="81">
        <f ca="1">I213</f>
        <v>73044.672994190129</v>
      </c>
      <c r="J98" s="81">
        <f ca="1">J213</f>
        <v>124927.41533751067</v>
      </c>
      <c r="K98" s="81">
        <f ca="1">K213</f>
        <v>194159.82850185671</v>
      </c>
      <c r="L98" s="81">
        <f ca="1">L213</f>
        <v>271095.6423217082</v>
      </c>
    </row>
    <row r="99" spans="2:12" ht="13.25" customHeight="1" x14ac:dyDescent="0.15">
      <c r="B99" s="7" t="s">
        <v>16</v>
      </c>
      <c r="C99" s="7"/>
      <c r="D99" s="7"/>
      <c r="E99" s="65"/>
      <c r="F99" s="11">
        <v>2429</v>
      </c>
      <c r="G99" s="56">
        <v>4650</v>
      </c>
      <c r="H99" s="65">
        <f ca="1">H129/365*H9</f>
        <v>7535.7232876712342</v>
      </c>
      <c r="I99" s="65">
        <f ca="1">I129/365*I9</f>
        <v>12000.144061643836</v>
      </c>
      <c r="J99" s="65">
        <f ca="1">J129/365*J9</f>
        <v>16744.714001369863</v>
      </c>
      <c r="K99" s="65">
        <f ca="1">K129/365*K9</f>
        <v>19956.516160622949</v>
      </c>
      <c r="L99" s="65">
        <f ca="1">L129/365*L9</f>
        <v>19662.420132992709</v>
      </c>
    </row>
    <row r="100" spans="2:12" ht="13.25" customHeight="1" x14ac:dyDescent="0.15">
      <c r="B100" s="7" t="s">
        <v>15</v>
      </c>
      <c r="C100" s="7"/>
      <c r="D100" s="7"/>
      <c r="E100" s="65"/>
      <c r="F100" s="11">
        <v>1826</v>
      </c>
      <c r="G100" s="56">
        <v>2605</v>
      </c>
      <c r="H100" s="65">
        <f ca="1">-H134/365*H10</f>
        <v>4165.1997808219176</v>
      </c>
      <c r="I100" s="65">
        <f ca="1">-I134/365*I10</f>
        <v>6465.7919074999991</v>
      </c>
      <c r="J100" s="65">
        <f ca="1">-J134/365*J10</f>
        <v>8790.9748507191762</v>
      </c>
      <c r="K100" s="65">
        <f ca="1">-K134/365*K10</f>
        <v>10204.081815813257</v>
      </c>
      <c r="L100" s="65">
        <f ca="1">-L134/365*L10</f>
        <v>9787.5157995341506</v>
      </c>
    </row>
    <row r="101" spans="2:12" ht="13.25" customHeight="1" x14ac:dyDescent="0.15">
      <c r="B101" s="7" t="s">
        <v>90</v>
      </c>
      <c r="C101" s="7"/>
      <c r="D101" s="7"/>
      <c r="E101" s="65"/>
      <c r="F101" s="11">
        <v>239</v>
      </c>
      <c r="G101" s="56">
        <v>366</v>
      </c>
      <c r="H101" s="65">
        <f ca="1">H139*H9</f>
        <v>600.11760000000015</v>
      </c>
      <c r="I101" s="65">
        <f ca="1">I139*I9</f>
        <v>1001.1548760000001</v>
      </c>
      <c r="J101" s="65">
        <f ca="1">J139*J9</f>
        <v>1466.8369465200001</v>
      </c>
      <c r="K101" s="65">
        <f ca="1">K139*K9</f>
        <v>1840.2008586006002</v>
      </c>
      <c r="L101" s="65">
        <f ca="1">L139*L9</f>
        <v>1913.8088929446239</v>
      </c>
    </row>
    <row r="102" spans="2:12" ht="13.25" customHeight="1" x14ac:dyDescent="0.15">
      <c r="B102" s="12" t="s">
        <v>91</v>
      </c>
      <c r="C102" s="12"/>
      <c r="D102" s="12"/>
      <c r="E102" s="19"/>
      <c r="F102" s="13">
        <f t="shared" ref="F102:L102" si="42">SUM(F98:F101)</f>
        <v>16055</v>
      </c>
      <c r="G102" s="57">
        <f t="shared" si="42"/>
        <v>28829</v>
      </c>
      <c r="H102" s="13">
        <f t="shared" ca="1" si="42"/>
        <v>52154.365008593566</v>
      </c>
      <c r="I102" s="13">
        <f t="shared" ca="1" si="42"/>
        <v>92511.763839333958</v>
      </c>
      <c r="J102" s="13">
        <f t="shared" ca="1" si="42"/>
        <v>151929.94113611971</v>
      </c>
      <c r="K102" s="13">
        <f t="shared" ca="1" si="42"/>
        <v>226160.62733689352</v>
      </c>
      <c r="L102" s="13">
        <f t="shared" ca="1" si="42"/>
        <v>302459.38714717969</v>
      </c>
    </row>
    <row r="103" spans="2:12" ht="13.25" customHeight="1" x14ac:dyDescent="0.15">
      <c r="B103" s="1"/>
      <c r="C103" s="1"/>
      <c r="D103" s="1"/>
      <c r="E103" s="15"/>
      <c r="F103" s="15"/>
      <c r="G103" s="61"/>
      <c r="H103" s="15"/>
      <c r="I103" s="15"/>
      <c r="J103" s="15"/>
      <c r="K103" s="15"/>
      <c r="L103" s="15"/>
    </row>
    <row r="104" spans="2:12" ht="13.25" customHeight="1" x14ac:dyDescent="0.15">
      <c r="B104" s="7" t="s">
        <v>92</v>
      </c>
      <c r="C104" s="7"/>
      <c r="D104" s="7"/>
      <c r="E104" s="65"/>
      <c r="F104" s="18">
        <v>2149</v>
      </c>
      <c r="G104" s="62">
        <v>2778</v>
      </c>
      <c r="H104" s="81">
        <f ca="1">+H163</f>
        <v>3378.1176000000005</v>
      </c>
      <c r="I104" s="81">
        <f ca="1">+I163</f>
        <v>4160.2698468750004</v>
      </c>
      <c r="J104" s="81">
        <f ca="1">+J163</f>
        <v>5015.9247323450018</v>
      </c>
      <c r="K104" s="81">
        <f ca="1">+K163</f>
        <v>5763.506331151495</v>
      </c>
      <c r="L104" s="81">
        <f ca="1">+L163</f>
        <v>6241.9585543876501</v>
      </c>
    </row>
    <row r="105" spans="2:12" ht="13.25" customHeight="1" x14ac:dyDescent="0.15">
      <c r="B105" s="7" t="s">
        <v>93</v>
      </c>
      <c r="C105" s="7"/>
      <c r="D105" s="7"/>
      <c r="E105" s="65"/>
      <c r="F105" s="11">
        <f>4193+2737</f>
        <v>6930</v>
      </c>
      <c r="G105" s="56">
        <f>4349+2339</f>
        <v>6688</v>
      </c>
      <c r="H105" s="20">
        <f>+H178</f>
        <v>6103</v>
      </c>
      <c r="I105" s="65">
        <f t="shared" ref="I105:L105" si="43">+I178</f>
        <v>5642</v>
      </c>
      <c r="J105" s="65">
        <f t="shared" si="43"/>
        <v>5237</v>
      </c>
      <c r="K105" s="65">
        <f t="shared" si="43"/>
        <v>5116</v>
      </c>
      <c r="L105" s="65">
        <f t="shared" si="43"/>
        <v>5100</v>
      </c>
    </row>
    <row r="106" spans="2:12" ht="13.25" customHeight="1" x14ac:dyDescent="0.15">
      <c r="B106" s="7" t="s">
        <v>58</v>
      </c>
      <c r="C106" s="7"/>
      <c r="D106" s="7"/>
      <c r="E106" s="65"/>
      <c r="F106" s="11">
        <f>707+806+2144</f>
        <v>3657</v>
      </c>
      <c r="G106" s="56">
        <f>829+1222+3841</f>
        <v>5892</v>
      </c>
      <c r="H106" s="11">
        <f>+G106</f>
        <v>5892</v>
      </c>
      <c r="I106" s="20">
        <f>+H106</f>
        <v>5892</v>
      </c>
      <c r="J106" s="20">
        <f>+I106</f>
        <v>5892</v>
      </c>
      <c r="K106" s="20">
        <f>+J106</f>
        <v>5892</v>
      </c>
      <c r="L106" s="20">
        <f>+K106</f>
        <v>5892</v>
      </c>
    </row>
    <row r="107" spans="2:12" ht="13.25" customHeight="1" x14ac:dyDescent="0.15">
      <c r="B107" s="12" t="s">
        <v>17</v>
      </c>
      <c r="C107" s="12"/>
      <c r="D107" s="12"/>
      <c r="E107" s="19"/>
      <c r="F107" s="13">
        <f t="shared" ref="F107:L107" si="44">+SUM(F102,F104:F106)</f>
        <v>28791</v>
      </c>
      <c r="G107" s="57">
        <f t="shared" si="44"/>
        <v>44187</v>
      </c>
      <c r="H107" s="13">
        <f ca="1">+SUM(H102,H104:H106)</f>
        <v>67527.482608593564</v>
      </c>
      <c r="I107" s="13">
        <f t="shared" ca="1" si="44"/>
        <v>108206.03368620896</v>
      </c>
      <c r="J107" s="13">
        <f t="shared" ca="1" si="44"/>
        <v>168074.86586846472</v>
      </c>
      <c r="K107" s="13">
        <f t="shared" ca="1" si="44"/>
        <v>242932.13366804502</v>
      </c>
      <c r="L107" s="13">
        <f t="shared" ca="1" si="44"/>
        <v>319693.34570156736</v>
      </c>
    </row>
    <row r="108" spans="2:12" ht="13.25" customHeight="1" x14ac:dyDescent="0.15">
      <c r="B108" s="7"/>
      <c r="C108" s="7"/>
      <c r="D108" s="7"/>
      <c r="E108" s="65"/>
      <c r="F108" s="65"/>
      <c r="G108" s="69"/>
      <c r="H108" s="65"/>
      <c r="I108" s="65"/>
      <c r="J108" s="65"/>
      <c r="K108" s="65"/>
      <c r="L108" s="65"/>
    </row>
    <row r="109" spans="2:12" ht="13.25" customHeight="1" x14ac:dyDescent="0.15">
      <c r="B109" s="7" t="s">
        <v>18</v>
      </c>
      <c r="C109" s="7"/>
      <c r="D109" s="7"/>
      <c r="E109" s="65"/>
      <c r="F109" s="18">
        <v>1149</v>
      </c>
      <c r="G109" s="62">
        <v>1783</v>
      </c>
      <c r="H109" s="81">
        <f ca="1">-H144/365*H10</f>
        <v>3069.0945753424658</v>
      </c>
      <c r="I109" s="81">
        <f ca="1">-I144/365*I10</f>
        <v>5137.2045292465746</v>
      </c>
      <c r="J109" s="81">
        <f ca="1">-J144/365*J10</f>
        <v>7535.1213006164371</v>
      </c>
      <c r="K109" s="81">
        <f ca="1">-K144/365*K10</f>
        <v>9442.5831728421181</v>
      </c>
      <c r="L109" s="81">
        <f ca="1">-L144/365*L10</f>
        <v>9787.5157995341506</v>
      </c>
    </row>
    <row r="110" spans="2:12" ht="13.25" customHeight="1" x14ac:dyDescent="0.15">
      <c r="B110" s="7" t="s">
        <v>94</v>
      </c>
      <c r="C110" s="7"/>
      <c r="D110" s="7"/>
      <c r="E110" s="65"/>
      <c r="F110" s="11">
        <v>1777</v>
      </c>
      <c r="G110" s="56">
        <v>2552</v>
      </c>
      <c r="H110" s="65">
        <f ca="1">-H149*H13</f>
        <v>3400.666400000001</v>
      </c>
      <c r="I110" s="65">
        <f ca="1">-I149*I13</f>
        <v>5318.63527875</v>
      </c>
      <c r="J110" s="65">
        <f ca="1">-J149*J13</f>
        <v>7273.0665264950003</v>
      </c>
      <c r="K110" s="65">
        <f ca="1">-K149*K13</f>
        <v>8472.5914531402614</v>
      </c>
      <c r="L110" s="65">
        <f ca="1">-L149*L13</f>
        <v>8133.6877950146518</v>
      </c>
    </row>
    <row r="111" spans="2:12" ht="13.25" customHeight="1" x14ac:dyDescent="0.15">
      <c r="B111" s="12" t="s">
        <v>95</v>
      </c>
      <c r="C111" s="12"/>
      <c r="D111" s="12"/>
      <c r="E111" s="19"/>
      <c r="F111" s="13">
        <f>SUM(F109:F110)</f>
        <v>2926</v>
      </c>
      <c r="G111" s="57">
        <f t="shared" ref="G111:L111" si="45">SUM(G109:G110)</f>
        <v>4335</v>
      </c>
      <c r="H111" s="13">
        <f t="shared" ca="1" si="45"/>
        <v>6469.7609753424667</v>
      </c>
      <c r="I111" s="13">
        <f t="shared" ca="1" si="45"/>
        <v>10455.839807996574</v>
      </c>
      <c r="J111" s="13">
        <f t="shared" ca="1" si="45"/>
        <v>14808.187827111436</v>
      </c>
      <c r="K111" s="13">
        <f t="shared" ca="1" si="45"/>
        <v>17915.174625982378</v>
      </c>
      <c r="L111" s="13">
        <f t="shared" ca="1" si="45"/>
        <v>17921.203594548802</v>
      </c>
    </row>
    <row r="112" spans="2:12" ht="13.25" customHeight="1" x14ac:dyDescent="0.15">
      <c r="B112" s="1"/>
      <c r="C112" s="1"/>
      <c r="D112" s="1"/>
      <c r="E112" s="15"/>
      <c r="F112" s="15"/>
      <c r="G112" s="61"/>
      <c r="H112" s="15"/>
      <c r="I112" s="15"/>
      <c r="J112" s="15"/>
      <c r="K112" s="15"/>
      <c r="L112" s="15"/>
    </row>
    <row r="113" spans="1:12" ht="13.25" customHeight="1" x14ac:dyDescent="0.15">
      <c r="B113" s="7" t="s">
        <v>96</v>
      </c>
      <c r="C113" s="7"/>
      <c r="D113" s="7"/>
      <c r="E113" s="65"/>
      <c r="F113" s="18">
        <v>0</v>
      </c>
      <c r="G113" s="62">
        <v>0</v>
      </c>
      <c r="H113" s="81">
        <f ca="1">+H226</f>
        <v>0</v>
      </c>
      <c r="I113" s="81">
        <f t="shared" ref="I113:L113" ca="1" si="46">+I226</f>
        <v>0</v>
      </c>
      <c r="J113" s="81">
        <f t="shared" ca="1" si="46"/>
        <v>0</v>
      </c>
      <c r="K113" s="81">
        <f t="shared" ca="1" si="46"/>
        <v>0</v>
      </c>
      <c r="L113" s="81">
        <f t="shared" ca="1" si="46"/>
        <v>0</v>
      </c>
    </row>
    <row r="114" spans="1:12" ht="13.25" customHeight="1" x14ac:dyDescent="0.15">
      <c r="B114" s="7" t="s">
        <v>19</v>
      </c>
      <c r="C114" s="7"/>
      <c r="D114" s="7"/>
      <c r="E114" s="65"/>
      <c r="F114" s="11">
        <f>999+5964</f>
        <v>6963</v>
      </c>
      <c r="G114" s="56">
        <v>10946</v>
      </c>
      <c r="H114" s="65">
        <f ca="1">H235</f>
        <v>10924.108</v>
      </c>
      <c r="I114" s="65">
        <f ca="1">I235</f>
        <v>10902.216</v>
      </c>
      <c r="J114" s="65">
        <f ca="1">J235</f>
        <v>10880.324000000001</v>
      </c>
      <c r="K114" s="65">
        <f ca="1">K235</f>
        <v>10858.432000000001</v>
      </c>
      <c r="L114" s="65">
        <f ca="1">L235</f>
        <v>10836.54</v>
      </c>
    </row>
    <row r="115" spans="1:12" ht="13.25" customHeight="1" x14ac:dyDescent="0.15">
      <c r="B115" s="7" t="s">
        <v>20</v>
      </c>
      <c r="C115" s="7"/>
      <c r="D115" s="7"/>
      <c r="E115" s="65"/>
      <c r="F115" s="11">
        <f>1375+634</f>
        <v>2009</v>
      </c>
      <c r="G115" s="56">
        <f>1553+741</f>
        <v>2294</v>
      </c>
      <c r="H115" s="11">
        <f>+G115</f>
        <v>2294</v>
      </c>
      <c r="I115" s="20">
        <f>+H115</f>
        <v>2294</v>
      </c>
      <c r="J115" s="20">
        <f>+I115</f>
        <v>2294</v>
      </c>
      <c r="K115" s="20">
        <f>+J115</f>
        <v>2294</v>
      </c>
      <c r="L115" s="20">
        <f>+K115</f>
        <v>2294</v>
      </c>
    </row>
    <row r="116" spans="1:12" ht="13.25" customHeight="1" x14ac:dyDescent="0.15">
      <c r="B116" s="12" t="s">
        <v>21</v>
      </c>
      <c r="C116" s="12"/>
      <c r="D116" s="12"/>
      <c r="E116" s="19"/>
      <c r="F116" s="13">
        <f t="shared" ref="F116:L116" si="47">SUM(F111,F113:F115)</f>
        <v>11898</v>
      </c>
      <c r="G116" s="57">
        <f t="shared" si="47"/>
        <v>17575</v>
      </c>
      <c r="H116" s="13">
        <f t="shared" ca="1" si="47"/>
        <v>19687.868975342466</v>
      </c>
      <c r="I116" s="13">
        <f t="shared" ca="1" si="47"/>
        <v>23652.055807996574</v>
      </c>
      <c r="J116" s="13">
        <f t="shared" ca="1" si="47"/>
        <v>27982.511827111437</v>
      </c>
      <c r="K116" s="13">
        <f t="shared" ca="1" si="47"/>
        <v>31067.606625982378</v>
      </c>
      <c r="L116" s="13">
        <f t="shared" ca="1" si="47"/>
        <v>31051.743594548803</v>
      </c>
    </row>
    <row r="117" spans="1:12" ht="13.25" customHeight="1" x14ac:dyDescent="0.15">
      <c r="B117" s="7"/>
      <c r="C117" s="7"/>
      <c r="D117" s="7"/>
      <c r="E117" s="65"/>
      <c r="F117" s="65"/>
      <c r="G117" s="69"/>
      <c r="H117" s="65"/>
      <c r="I117" s="65"/>
      <c r="J117" s="65"/>
      <c r="K117" s="65"/>
      <c r="L117" s="65"/>
    </row>
    <row r="118" spans="1:12" ht="13.25" customHeight="1" x14ac:dyDescent="0.15">
      <c r="B118" s="7" t="s">
        <v>22</v>
      </c>
      <c r="C118" s="7"/>
      <c r="D118" s="7"/>
      <c r="E118" s="65"/>
      <c r="F118" s="18">
        <f>3+8719</f>
        <v>8722</v>
      </c>
      <c r="G118" s="62">
        <f>3+10385</f>
        <v>10388</v>
      </c>
      <c r="H118" s="81">
        <f ca="1">+G118+H195</f>
        <v>14388.784000000001</v>
      </c>
      <c r="I118" s="81">
        <f ca="1">+H118+I195</f>
        <v>20646.001975000003</v>
      </c>
      <c r="J118" s="81">
        <f ca="1">+I118+J195</f>
        <v>29202.550829700005</v>
      </c>
      <c r="K118" s="81">
        <f ca="1">+J118+K195</f>
        <v>39170.305480453258</v>
      </c>
      <c r="L118" s="81">
        <f ca="1">+K118+L195</f>
        <v>48739.349945176378</v>
      </c>
    </row>
    <row r="119" spans="1:12" ht="13.25" customHeight="1" x14ac:dyDescent="0.15">
      <c r="B119" s="7" t="s">
        <v>23</v>
      </c>
      <c r="C119" s="7"/>
      <c r="D119" s="7"/>
      <c r="E119" s="65"/>
      <c r="F119" s="11">
        <v>-10756</v>
      </c>
      <c r="G119" s="56">
        <v>0</v>
      </c>
      <c r="H119" s="11">
        <v>0</v>
      </c>
      <c r="I119" s="20">
        <f>+H119</f>
        <v>0</v>
      </c>
      <c r="J119" s="20">
        <f t="shared" ref="J119:L120" si="48">+I119</f>
        <v>0</v>
      </c>
      <c r="K119" s="20">
        <f t="shared" si="48"/>
        <v>0</v>
      </c>
      <c r="L119" s="20">
        <f t="shared" si="48"/>
        <v>0</v>
      </c>
    </row>
    <row r="120" spans="1:12" ht="13.25" customHeight="1" x14ac:dyDescent="0.15">
      <c r="B120" s="7" t="s">
        <v>97</v>
      </c>
      <c r="C120" s="7"/>
      <c r="D120" s="7"/>
      <c r="E120" s="65"/>
      <c r="F120" s="11">
        <v>19</v>
      </c>
      <c r="G120" s="56">
        <v>-11</v>
      </c>
      <c r="H120" s="11">
        <f>+G120</f>
        <v>-11</v>
      </c>
      <c r="I120" s="65">
        <f>+H120</f>
        <v>-11</v>
      </c>
      <c r="J120" s="65">
        <f t="shared" si="48"/>
        <v>-11</v>
      </c>
      <c r="K120" s="65">
        <f t="shared" si="48"/>
        <v>-11</v>
      </c>
      <c r="L120" s="65">
        <f t="shared" si="48"/>
        <v>-11</v>
      </c>
    </row>
    <row r="121" spans="1:12" ht="13.25" customHeight="1" x14ac:dyDescent="0.15">
      <c r="B121" s="7" t="s">
        <v>24</v>
      </c>
      <c r="C121" s="7"/>
      <c r="D121" s="7"/>
      <c r="E121" s="65"/>
      <c r="F121" s="11">
        <v>18908</v>
      </c>
      <c r="G121" s="56">
        <v>16235</v>
      </c>
      <c r="H121" s="65">
        <f ca="1">+H186</f>
        <v>33461.829633251094</v>
      </c>
      <c r="I121" s="65">
        <f t="shared" ref="I121:L121" ca="1" si="49">+I186</f>
        <v>63918.975903212398</v>
      </c>
      <c r="J121" s="65">
        <f t="shared" ca="1" si="49"/>
        <v>110900.80321165328</v>
      </c>
      <c r="K121" s="65">
        <f t="shared" ca="1" si="49"/>
        <v>172705.22156160942</v>
      </c>
      <c r="L121" s="65">
        <f t="shared" ca="1" si="49"/>
        <v>239913.25216184219</v>
      </c>
    </row>
    <row r="122" spans="1:12" ht="13.25" customHeight="1" x14ac:dyDescent="0.15">
      <c r="B122" s="12" t="s">
        <v>98</v>
      </c>
      <c r="C122" s="12"/>
      <c r="D122" s="12"/>
      <c r="E122" s="19"/>
      <c r="F122" s="13">
        <f t="shared" ref="F122:L122" si="50">+F116+SUM(F118:F121)</f>
        <v>28791</v>
      </c>
      <c r="G122" s="57">
        <f t="shared" si="50"/>
        <v>44187</v>
      </c>
      <c r="H122" s="13">
        <f t="shared" ca="1" si="50"/>
        <v>67527.482608593564</v>
      </c>
      <c r="I122" s="13">
        <f t="shared" ca="1" si="50"/>
        <v>108206.03368620898</v>
      </c>
      <c r="J122" s="13">
        <f t="shared" ca="1" si="50"/>
        <v>168074.86586846472</v>
      </c>
      <c r="K122" s="13">
        <f t="shared" ca="1" si="50"/>
        <v>242932.13366804505</v>
      </c>
      <c r="L122" s="13">
        <f t="shared" ca="1" si="50"/>
        <v>319693.34570156736</v>
      </c>
    </row>
    <row r="123" spans="1:12" ht="13.25" customHeight="1" x14ac:dyDescent="0.15">
      <c r="B123" s="7"/>
      <c r="C123" s="7"/>
      <c r="D123" s="7"/>
      <c r="E123" s="65"/>
      <c r="F123" s="65"/>
      <c r="G123" s="69"/>
      <c r="H123" s="65"/>
      <c r="I123" s="65"/>
      <c r="J123" s="65"/>
      <c r="K123" s="65"/>
      <c r="L123" s="65"/>
    </row>
    <row r="124" spans="1:12" ht="13.25" customHeight="1" x14ac:dyDescent="0.15">
      <c r="B124" s="7" t="s">
        <v>25</v>
      </c>
      <c r="C124" s="7"/>
      <c r="D124" s="7"/>
      <c r="E124" s="20"/>
      <c r="F124" s="20">
        <f t="shared" ref="F124:L124" si="51">+F107-F122</f>
        <v>0</v>
      </c>
      <c r="G124" s="85">
        <f t="shared" si="51"/>
        <v>0</v>
      </c>
      <c r="H124" s="20">
        <f t="shared" ca="1" si="51"/>
        <v>0</v>
      </c>
      <c r="I124" s="20">
        <f t="shared" ca="1" si="51"/>
        <v>0</v>
      </c>
      <c r="J124" s="20">
        <f t="shared" ca="1" si="51"/>
        <v>0</v>
      </c>
      <c r="K124" s="20">
        <f t="shared" ca="1" si="51"/>
        <v>0</v>
      </c>
      <c r="L124" s="20">
        <f t="shared" ca="1" si="51"/>
        <v>0</v>
      </c>
    </row>
    <row r="125" spans="1:12" ht="13.25" customHeight="1" x14ac:dyDescent="0.15">
      <c r="B125" s="7"/>
      <c r="C125" s="7"/>
      <c r="D125" s="7"/>
      <c r="E125" s="65"/>
      <c r="F125" s="65"/>
      <c r="G125" s="69"/>
      <c r="H125" s="65"/>
      <c r="I125" s="65"/>
      <c r="J125" s="65"/>
      <c r="K125" s="65"/>
      <c r="L125" s="65"/>
    </row>
    <row r="126" spans="1:12" ht="13.25" customHeight="1" x14ac:dyDescent="0.15">
      <c r="A126" s="114" t="s">
        <v>0</v>
      </c>
      <c r="B126" s="30" t="s">
        <v>186</v>
      </c>
      <c r="C126" s="30"/>
      <c r="D126" s="30"/>
      <c r="E126" s="31"/>
      <c r="F126" s="31"/>
      <c r="G126" s="31"/>
      <c r="H126" s="31"/>
      <c r="I126" s="31"/>
      <c r="J126" s="31"/>
      <c r="K126" s="31"/>
      <c r="L126" s="31"/>
    </row>
    <row r="127" spans="1:12" ht="13.25" customHeight="1" x14ac:dyDescent="0.15">
      <c r="B127" s="54" t="s">
        <v>173</v>
      </c>
      <c r="C127" s="54"/>
      <c r="D127" s="54"/>
      <c r="E127" s="52">
        <f>+E$7</f>
        <v>43856</v>
      </c>
      <c r="F127" s="52">
        <f t="shared" ref="F127:L127" si="52">+F$7</f>
        <v>44227</v>
      </c>
      <c r="G127" s="113">
        <f t="shared" si="52"/>
        <v>44592</v>
      </c>
      <c r="H127" s="53">
        <f t="shared" si="52"/>
        <v>44957</v>
      </c>
      <c r="I127" s="53">
        <f t="shared" si="52"/>
        <v>45322</v>
      </c>
      <c r="J127" s="53">
        <f t="shared" si="52"/>
        <v>45688</v>
      </c>
      <c r="K127" s="53">
        <f t="shared" si="52"/>
        <v>46053</v>
      </c>
      <c r="L127" s="53">
        <f t="shared" si="52"/>
        <v>46418</v>
      </c>
    </row>
    <row r="128" spans="1:12" ht="13.25" customHeight="1" x14ac:dyDescent="0.15">
      <c r="B128" s="33"/>
      <c r="C128" s="33"/>
      <c r="D128" s="33"/>
      <c r="E128" s="34"/>
      <c r="F128" s="34"/>
      <c r="G128" s="58"/>
      <c r="H128" s="34"/>
      <c r="I128" s="34"/>
      <c r="J128" s="34"/>
      <c r="K128" s="34"/>
      <c r="L128" s="34"/>
    </row>
    <row r="129" spans="1:12" s="108" customFormat="1" ht="13.25" customHeight="1" x14ac:dyDescent="0.15">
      <c r="A129" s="115"/>
      <c r="B129" s="76" t="s">
        <v>99</v>
      </c>
      <c r="C129" s="76"/>
      <c r="D129" s="76"/>
      <c r="E129" s="86"/>
      <c r="F129" s="87">
        <f>F99/F9*365</f>
        <v>53.168515742128939</v>
      </c>
      <c r="G129" s="88">
        <f>G99/G9*365</f>
        <v>63.061975180203611</v>
      </c>
      <c r="H129" s="89">
        <f ca="1">+OFFSET(H129,$H$3,0)</f>
        <v>55</v>
      </c>
      <c r="I129" s="89">
        <f ca="1">+OFFSET(I129,$H$3,0)</f>
        <v>52.5</v>
      </c>
      <c r="J129" s="89">
        <f ca="1">+OFFSET(J129,$H$3,0)</f>
        <v>50</v>
      </c>
      <c r="K129" s="89">
        <f ca="1">+OFFSET(K129,$H$3,0)</f>
        <v>47.5</v>
      </c>
      <c r="L129" s="89">
        <f ca="1">+OFFSET(L129,$H$3,0)</f>
        <v>45</v>
      </c>
    </row>
    <row r="130" spans="1:12" ht="13.25" customHeight="1" x14ac:dyDescent="0.15">
      <c r="B130" s="7" t="s">
        <v>70</v>
      </c>
      <c r="C130" s="7"/>
      <c r="D130" s="7"/>
      <c r="E130" s="65"/>
      <c r="F130" s="65"/>
      <c r="G130" s="69"/>
      <c r="H130" s="90">
        <v>60</v>
      </c>
      <c r="I130" s="91">
        <f ca="1">+H130-($H130-$L130)/COUNTA($H130:$K130)</f>
        <v>57.5</v>
      </c>
      <c r="J130" s="91">
        <f t="shared" ref="J130:K130" ca="1" si="53">+I130-($H130-$L130)/COUNTA($H130:$K130)</f>
        <v>55</v>
      </c>
      <c r="K130" s="91">
        <f t="shared" ca="1" si="53"/>
        <v>52.5</v>
      </c>
      <c r="L130" s="92">
        <v>50</v>
      </c>
    </row>
    <row r="131" spans="1:12" ht="13.25" customHeight="1" x14ac:dyDescent="0.15">
      <c r="B131" s="7" t="s">
        <v>71</v>
      </c>
      <c r="C131" s="7"/>
      <c r="D131" s="7"/>
      <c r="E131" s="65"/>
      <c r="F131" s="65"/>
      <c r="G131" s="69"/>
      <c r="H131" s="93">
        <v>55</v>
      </c>
      <c r="I131" s="94">
        <f t="shared" ref="I131:K132" ca="1" si="54">+H131-($H131-$L131)/COUNTA($H131:$K131)</f>
        <v>52.5</v>
      </c>
      <c r="J131" s="94">
        <f t="shared" ca="1" si="54"/>
        <v>50</v>
      </c>
      <c r="K131" s="94">
        <f t="shared" ca="1" si="54"/>
        <v>47.5</v>
      </c>
      <c r="L131" s="95">
        <v>45</v>
      </c>
    </row>
    <row r="132" spans="1:12" ht="13.25" customHeight="1" x14ac:dyDescent="0.15">
      <c r="B132" s="7" t="s">
        <v>72</v>
      </c>
      <c r="C132" s="7"/>
      <c r="D132" s="7"/>
      <c r="E132" s="65"/>
      <c r="F132" s="65"/>
      <c r="G132" s="69"/>
      <c r="H132" s="93">
        <v>65</v>
      </c>
      <c r="I132" s="94">
        <f t="shared" ca="1" si="54"/>
        <v>62.5</v>
      </c>
      <c r="J132" s="94">
        <f t="shared" ca="1" si="54"/>
        <v>60</v>
      </c>
      <c r="K132" s="94">
        <f t="shared" ca="1" si="54"/>
        <v>57.5</v>
      </c>
      <c r="L132" s="95">
        <v>55</v>
      </c>
    </row>
    <row r="133" spans="1:12" ht="13.25" customHeight="1" x14ac:dyDescent="0.15">
      <c r="B133" s="7"/>
      <c r="C133" s="7"/>
      <c r="D133" s="7"/>
      <c r="E133" s="65"/>
      <c r="F133" s="65"/>
      <c r="G133" s="69"/>
      <c r="H133" s="96"/>
      <c r="I133" s="96"/>
      <c r="J133" s="96"/>
      <c r="K133" s="96"/>
      <c r="L133" s="96"/>
    </row>
    <row r="134" spans="1:12" s="108" customFormat="1" ht="13.25" customHeight="1" x14ac:dyDescent="0.15">
      <c r="A134" s="115"/>
      <c r="B134" s="76" t="s">
        <v>100</v>
      </c>
      <c r="C134" s="76"/>
      <c r="D134" s="76"/>
      <c r="E134" s="86"/>
      <c r="F134" s="87">
        <f>-F100/F10*365</f>
        <v>106.14588310240484</v>
      </c>
      <c r="G134" s="88">
        <f>-G100/G10*365</f>
        <v>100.73365822650703</v>
      </c>
      <c r="H134" s="89">
        <f ca="1">+OFFSET(H134,$H$3,0)</f>
        <v>95</v>
      </c>
      <c r="I134" s="89">
        <f ca="1">+OFFSET(I134,$H$3,0)</f>
        <v>91.25</v>
      </c>
      <c r="J134" s="89">
        <f ca="1">+OFFSET(J134,$H$3,0)</f>
        <v>87.5</v>
      </c>
      <c r="K134" s="89">
        <f ca="1">+OFFSET(K134,$H$3,0)</f>
        <v>83.75</v>
      </c>
      <c r="L134" s="89">
        <f ca="1">+OFFSET(L134,$H$3,0)</f>
        <v>80</v>
      </c>
    </row>
    <row r="135" spans="1:12" ht="13.25" customHeight="1" x14ac:dyDescent="0.15">
      <c r="B135" s="7" t="s">
        <v>70</v>
      </c>
      <c r="C135" s="7"/>
      <c r="D135" s="7"/>
      <c r="E135" s="65"/>
      <c r="F135" s="65"/>
      <c r="G135" s="69"/>
      <c r="H135" s="90">
        <v>100</v>
      </c>
      <c r="I135" s="91">
        <f ca="1">+H135-($H135-$L135)/COUNTA($H135:$K135)</f>
        <v>97.5</v>
      </c>
      <c r="J135" s="91">
        <f t="shared" ref="J135:K135" ca="1" si="55">+I135-($H135-$L135)/COUNTA($H135:$K135)</f>
        <v>95</v>
      </c>
      <c r="K135" s="91">
        <f t="shared" ca="1" si="55"/>
        <v>92.5</v>
      </c>
      <c r="L135" s="92">
        <v>90</v>
      </c>
    </row>
    <row r="136" spans="1:12" ht="13.25" customHeight="1" x14ac:dyDescent="0.15">
      <c r="B136" s="7" t="s">
        <v>71</v>
      </c>
      <c r="C136" s="7"/>
      <c r="D136" s="7"/>
      <c r="E136" s="65"/>
      <c r="F136" s="65"/>
      <c r="G136" s="69"/>
      <c r="H136" s="93">
        <v>95</v>
      </c>
      <c r="I136" s="94">
        <f t="shared" ref="I136:K137" ca="1" si="56">+H136-($H136-$L136)/COUNTA($H136:$K136)</f>
        <v>91.25</v>
      </c>
      <c r="J136" s="94">
        <f t="shared" ca="1" si="56"/>
        <v>87.5</v>
      </c>
      <c r="K136" s="94">
        <f t="shared" ca="1" si="56"/>
        <v>83.75</v>
      </c>
      <c r="L136" s="95">
        <v>80</v>
      </c>
    </row>
    <row r="137" spans="1:12" ht="13.25" customHeight="1" x14ac:dyDescent="0.15">
      <c r="B137" s="7" t="s">
        <v>72</v>
      </c>
      <c r="C137" s="7"/>
      <c r="D137" s="7"/>
      <c r="E137" s="65"/>
      <c r="F137" s="65"/>
      <c r="G137" s="69"/>
      <c r="H137" s="93">
        <v>105</v>
      </c>
      <c r="I137" s="94">
        <f t="shared" ca="1" si="56"/>
        <v>103.75</v>
      </c>
      <c r="J137" s="94">
        <f t="shared" ca="1" si="56"/>
        <v>102.5</v>
      </c>
      <c r="K137" s="94">
        <f t="shared" ca="1" si="56"/>
        <v>101.25</v>
      </c>
      <c r="L137" s="95">
        <v>100</v>
      </c>
    </row>
    <row r="138" spans="1:12" ht="13.25" customHeight="1" x14ac:dyDescent="0.15">
      <c r="B138" s="7"/>
      <c r="C138" s="7"/>
      <c r="D138" s="7"/>
      <c r="E138" s="65"/>
      <c r="F138" s="65"/>
      <c r="G138" s="69"/>
      <c r="H138" s="96"/>
      <c r="I138" s="96"/>
      <c r="J138" s="96"/>
      <c r="K138" s="96"/>
      <c r="L138" s="96"/>
    </row>
    <row r="139" spans="1:12" s="108" customFormat="1" ht="13.25" customHeight="1" x14ac:dyDescent="0.15">
      <c r="A139" s="115"/>
      <c r="B139" s="76" t="s">
        <v>101</v>
      </c>
      <c r="C139" s="76"/>
      <c r="D139" s="76"/>
      <c r="E139" s="86"/>
      <c r="F139" s="77">
        <f>+F101/F$9</f>
        <v>1.4332833583208396E-2</v>
      </c>
      <c r="G139" s="78">
        <f>+G101/G$9</f>
        <v>1.359887047633202E-2</v>
      </c>
      <c r="H139" s="79">
        <f ca="1">+OFFSET(H139,$H$3,0)</f>
        <v>1.2E-2</v>
      </c>
      <c r="I139" s="79">
        <f ca="1">+OFFSET(I139,$H$3,0)</f>
        <v>1.2E-2</v>
      </c>
      <c r="J139" s="79">
        <f ca="1">+OFFSET(J139,$H$3,0)</f>
        <v>1.2E-2</v>
      </c>
      <c r="K139" s="79">
        <f ca="1">+OFFSET(K139,$H$3,0)</f>
        <v>1.2E-2</v>
      </c>
      <c r="L139" s="79">
        <f ca="1">+OFFSET(L139,$H$3,0)</f>
        <v>1.2E-2</v>
      </c>
    </row>
    <row r="140" spans="1:12" ht="13.25" customHeight="1" x14ac:dyDescent="0.15">
      <c r="B140" s="7" t="s">
        <v>70</v>
      </c>
      <c r="C140" s="7"/>
      <c r="D140" s="7"/>
      <c r="E140" s="65"/>
      <c r="F140" s="65"/>
      <c r="G140" s="69"/>
      <c r="H140" s="70">
        <v>1.4E-2</v>
      </c>
      <c r="I140" s="71">
        <f ca="1">+H140-($H140-$L140)/COUNTA($H140:$K140)</f>
        <v>1.4E-2</v>
      </c>
      <c r="J140" s="71">
        <f t="shared" ref="J140:K140" ca="1" si="57">+I140-($H140-$L140)/COUNTA($H140:$K140)</f>
        <v>1.4E-2</v>
      </c>
      <c r="K140" s="71">
        <f t="shared" ca="1" si="57"/>
        <v>1.4E-2</v>
      </c>
      <c r="L140" s="72">
        <v>1.4E-2</v>
      </c>
    </row>
    <row r="141" spans="1:12" ht="13.25" customHeight="1" x14ac:dyDescent="0.15">
      <c r="B141" s="7" t="s">
        <v>71</v>
      </c>
      <c r="C141" s="7"/>
      <c r="D141" s="7"/>
      <c r="E141" s="65"/>
      <c r="F141" s="65"/>
      <c r="G141" s="69"/>
      <c r="H141" s="73">
        <v>1.2E-2</v>
      </c>
      <c r="I141" s="97">
        <f t="shared" ref="I141:K142" ca="1" si="58">+H141-($H141-$L141)/COUNTA($H141:$K141)</f>
        <v>1.2E-2</v>
      </c>
      <c r="J141" s="97">
        <f t="shared" ca="1" si="58"/>
        <v>1.2E-2</v>
      </c>
      <c r="K141" s="97">
        <f t="shared" ca="1" si="58"/>
        <v>1.2E-2</v>
      </c>
      <c r="L141" s="80">
        <v>1.2E-2</v>
      </c>
    </row>
    <row r="142" spans="1:12" ht="13.25" customHeight="1" x14ac:dyDescent="0.15">
      <c r="B142" s="7" t="s">
        <v>72</v>
      </c>
      <c r="C142" s="7"/>
      <c r="D142" s="7"/>
      <c r="E142" s="65"/>
      <c r="F142" s="65"/>
      <c r="G142" s="69"/>
      <c r="H142" s="73">
        <v>1.6E-2</v>
      </c>
      <c r="I142" s="97">
        <f t="shared" ca="1" si="58"/>
        <v>1.6E-2</v>
      </c>
      <c r="J142" s="97">
        <f t="shared" ca="1" si="58"/>
        <v>1.6E-2</v>
      </c>
      <c r="K142" s="97">
        <f t="shared" ca="1" si="58"/>
        <v>1.6E-2</v>
      </c>
      <c r="L142" s="80">
        <v>1.6E-2</v>
      </c>
    </row>
    <row r="143" spans="1:12" ht="13.25" customHeight="1" x14ac:dyDescent="0.15">
      <c r="B143" s="7"/>
      <c r="C143" s="7"/>
      <c r="D143" s="7"/>
      <c r="E143" s="65"/>
      <c r="F143" s="65"/>
      <c r="G143" s="69"/>
      <c r="H143" s="96"/>
      <c r="I143" s="96"/>
      <c r="J143" s="96"/>
      <c r="K143" s="96"/>
      <c r="L143" s="96"/>
    </row>
    <row r="144" spans="1:12" s="108" customFormat="1" ht="13.25" customHeight="1" x14ac:dyDescent="0.15">
      <c r="A144" s="115"/>
      <c r="B144" s="76" t="s">
        <v>102</v>
      </c>
      <c r="C144" s="76"/>
      <c r="D144" s="76"/>
      <c r="E144" s="86"/>
      <c r="F144" s="87">
        <f>-F109/F10*365</f>
        <v>66.791686574295269</v>
      </c>
      <c r="G144" s="88">
        <f>-G109/G10*365</f>
        <v>68.947452060599645</v>
      </c>
      <c r="H144" s="89">
        <f ca="1">+OFFSET(H144,$H$3,0)</f>
        <v>70</v>
      </c>
      <c r="I144" s="89">
        <f ca="1">+OFFSET(I144,$H$3,0)</f>
        <v>72.5</v>
      </c>
      <c r="J144" s="89">
        <f ca="1">+OFFSET(J144,$H$3,0)</f>
        <v>75</v>
      </c>
      <c r="K144" s="89">
        <f ca="1">+OFFSET(K144,$H$3,0)</f>
        <v>77.5</v>
      </c>
      <c r="L144" s="89">
        <f ca="1">+OFFSET(L144,$H$3,0)</f>
        <v>80</v>
      </c>
    </row>
    <row r="145" spans="1:12" ht="13.25" customHeight="1" x14ac:dyDescent="0.15">
      <c r="B145" s="7" t="s">
        <v>70</v>
      </c>
      <c r="C145" s="7"/>
      <c r="D145" s="7"/>
      <c r="E145" s="65"/>
      <c r="F145" s="65"/>
      <c r="G145" s="69"/>
      <c r="H145" s="90">
        <v>68</v>
      </c>
      <c r="I145" s="91">
        <f ca="1">+H145-($H145-$L145)/COUNTA($H145:$K145)</f>
        <v>69.75</v>
      </c>
      <c r="J145" s="91">
        <f t="shared" ref="J145:K145" ca="1" si="59">+I145-($H145-$L145)/COUNTA($H145:$K145)</f>
        <v>71.5</v>
      </c>
      <c r="K145" s="91">
        <f t="shared" ca="1" si="59"/>
        <v>73.25</v>
      </c>
      <c r="L145" s="92">
        <v>75</v>
      </c>
    </row>
    <row r="146" spans="1:12" ht="13.25" customHeight="1" x14ac:dyDescent="0.15">
      <c r="B146" s="7" t="s">
        <v>71</v>
      </c>
      <c r="C146" s="7"/>
      <c r="D146" s="7"/>
      <c r="E146" s="65"/>
      <c r="F146" s="65"/>
      <c r="G146" s="69"/>
      <c r="H146" s="93">
        <v>70</v>
      </c>
      <c r="I146" s="94">
        <f t="shared" ref="I146:K147" ca="1" si="60">+H146-($H146-$L146)/COUNTA($H146:$K146)</f>
        <v>72.5</v>
      </c>
      <c r="J146" s="94">
        <f t="shared" ca="1" si="60"/>
        <v>75</v>
      </c>
      <c r="K146" s="94">
        <f t="shared" ca="1" si="60"/>
        <v>77.5</v>
      </c>
      <c r="L146" s="95">
        <v>80</v>
      </c>
    </row>
    <row r="147" spans="1:12" ht="13.25" customHeight="1" x14ac:dyDescent="0.15">
      <c r="B147" s="7" t="s">
        <v>72</v>
      </c>
      <c r="C147" s="7"/>
      <c r="D147" s="7"/>
      <c r="E147" s="65"/>
      <c r="F147" s="65"/>
      <c r="G147" s="69"/>
      <c r="H147" s="93">
        <v>64</v>
      </c>
      <c r="I147" s="94">
        <f t="shared" ca="1" si="60"/>
        <v>63</v>
      </c>
      <c r="J147" s="94">
        <f t="shared" ca="1" si="60"/>
        <v>62</v>
      </c>
      <c r="K147" s="94">
        <f t="shared" ca="1" si="60"/>
        <v>61</v>
      </c>
      <c r="L147" s="95">
        <v>60</v>
      </c>
    </row>
    <row r="148" spans="1:12" ht="13.25" customHeight="1" x14ac:dyDescent="0.15">
      <c r="B148" s="7"/>
      <c r="C148" s="7"/>
      <c r="D148" s="7"/>
      <c r="E148" s="65"/>
      <c r="F148" s="65"/>
      <c r="G148" s="69"/>
      <c r="H148" s="96"/>
      <c r="I148" s="96"/>
      <c r="J148" s="96"/>
      <c r="K148" s="96"/>
      <c r="L148" s="96"/>
    </row>
    <row r="149" spans="1:12" s="108" customFormat="1" ht="13.25" customHeight="1" x14ac:dyDescent="0.15">
      <c r="A149" s="115"/>
      <c r="B149" s="76" t="s">
        <v>103</v>
      </c>
      <c r="C149" s="76"/>
      <c r="D149" s="76"/>
      <c r="E149" s="86"/>
      <c r="F149" s="77">
        <f>-F110/F13</f>
        <v>0.91597938144329893</v>
      </c>
      <c r="G149" s="78">
        <f>-G110/G13</f>
        <v>1.1782086795937212</v>
      </c>
      <c r="H149" s="79">
        <f ca="1">+OFFSET(H149,$H$3,0)</f>
        <v>0.85</v>
      </c>
      <c r="I149" s="79">
        <f ca="1">+OFFSET(I149,$H$3,0)</f>
        <v>0.85</v>
      </c>
      <c r="J149" s="79">
        <f ca="1">+OFFSET(J149,$H$3,0)</f>
        <v>0.85</v>
      </c>
      <c r="K149" s="79">
        <f ca="1">+OFFSET(K149,$H$3,0)</f>
        <v>0.85</v>
      </c>
      <c r="L149" s="79">
        <f ca="1">+OFFSET(L149,$H$3,0)</f>
        <v>0.85</v>
      </c>
    </row>
    <row r="150" spans="1:12" ht="13.25" customHeight="1" x14ac:dyDescent="0.15">
      <c r="B150" s="7" t="s">
        <v>70</v>
      </c>
      <c r="C150" s="7"/>
      <c r="D150" s="7"/>
      <c r="E150" s="65"/>
      <c r="F150" s="65"/>
      <c r="G150" s="69"/>
      <c r="H150" s="70">
        <v>0.8</v>
      </c>
      <c r="I150" s="71">
        <f ca="1">+H150-($H150-$L150)/COUNTA($H150:$K150)</f>
        <v>0.8</v>
      </c>
      <c r="J150" s="71">
        <f t="shared" ref="J150:K150" ca="1" si="61">+I150-($H150-$L150)/COUNTA($H150:$K150)</f>
        <v>0.8</v>
      </c>
      <c r="K150" s="71">
        <f t="shared" ca="1" si="61"/>
        <v>0.8</v>
      </c>
      <c r="L150" s="72">
        <v>0.8</v>
      </c>
    </row>
    <row r="151" spans="1:12" ht="13.25" customHeight="1" x14ac:dyDescent="0.15">
      <c r="B151" s="7" t="s">
        <v>71</v>
      </c>
      <c r="C151" s="7"/>
      <c r="D151" s="7"/>
      <c r="E151" s="65"/>
      <c r="F151" s="65"/>
      <c r="G151" s="69"/>
      <c r="H151" s="73">
        <v>0.85</v>
      </c>
      <c r="I151" s="97">
        <f t="shared" ref="I151:K152" ca="1" si="62">+H151-($H151-$L151)/COUNTA($H151:$K151)</f>
        <v>0.85</v>
      </c>
      <c r="J151" s="97">
        <f t="shared" ca="1" si="62"/>
        <v>0.85</v>
      </c>
      <c r="K151" s="97">
        <f t="shared" ca="1" si="62"/>
        <v>0.85</v>
      </c>
      <c r="L151" s="80">
        <v>0.85</v>
      </c>
    </row>
    <row r="152" spans="1:12" ht="13.25" customHeight="1" x14ac:dyDescent="0.15">
      <c r="B152" s="7" t="s">
        <v>72</v>
      </c>
      <c r="C152" s="7"/>
      <c r="D152" s="7"/>
      <c r="E152" s="65"/>
      <c r="F152" s="65"/>
      <c r="G152" s="69"/>
      <c r="H152" s="73">
        <v>0.75</v>
      </c>
      <c r="I152" s="97">
        <f t="shared" ca="1" si="62"/>
        <v>0.75</v>
      </c>
      <c r="J152" s="97">
        <f t="shared" ca="1" si="62"/>
        <v>0.75</v>
      </c>
      <c r="K152" s="97">
        <f t="shared" ca="1" si="62"/>
        <v>0.75</v>
      </c>
      <c r="L152" s="80">
        <v>0.75</v>
      </c>
    </row>
    <row r="153" spans="1:12" ht="13.25" customHeight="1" x14ac:dyDescent="0.15">
      <c r="B153" s="7"/>
      <c r="C153" s="7"/>
      <c r="D153" s="7"/>
      <c r="E153" s="65"/>
      <c r="F153" s="65"/>
      <c r="G153" s="69"/>
      <c r="H153" s="11"/>
      <c r="I153" s="21"/>
      <c r="J153" s="21"/>
      <c r="K153" s="21"/>
      <c r="L153" s="21"/>
    </row>
    <row r="154" spans="1:12" s="108" customFormat="1" ht="13.25" customHeight="1" x14ac:dyDescent="0.15">
      <c r="A154" s="115"/>
      <c r="B154" s="76" t="s">
        <v>26</v>
      </c>
      <c r="C154" s="76"/>
      <c r="D154" s="76"/>
      <c r="E154" s="86"/>
      <c r="F154" s="98">
        <f t="shared" ref="F154:L154" si="63">SUM(F99:F101)-SUM(F109:F110)</f>
        <v>1568</v>
      </c>
      <c r="G154" s="99">
        <f t="shared" si="63"/>
        <v>3286</v>
      </c>
      <c r="H154" s="98">
        <f t="shared" ca="1" si="63"/>
        <v>5831.2796931506846</v>
      </c>
      <c r="I154" s="98">
        <f t="shared" ca="1" si="63"/>
        <v>9011.2510371472636</v>
      </c>
      <c r="J154" s="98">
        <f t="shared" ca="1" si="63"/>
        <v>12194.337971497604</v>
      </c>
      <c r="K154" s="98">
        <f t="shared" ca="1" si="63"/>
        <v>14085.624209054429</v>
      </c>
      <c r="L154" s="98">
        <f t="shared" ca="1" si="63"/>
        <v>13442.541230922681</v>
      </c>
    </row>
    <row r="155" spans="1:12" ht="13.25" customHeight="1" x14ac:dyDescent="0.15">
      <c r="B155" s="7" t="s">
        <v>31</v>
      </c>
      <c r="C155" s="7"/>
      <c r="D155" s="7"/>
      <c r="E155" s="65"/>
      <c r="F155" s="81" t="s">
        <v>104</v>
      </c>
      <c r="G155" s="82">
        <f>+F154-G154</f>
        <v>-1718</v>
      </c>
      <c r="H155" s="81">
        <f ca="1">+G154-H154</f>
        <v>-2545.2796931506846</v>
      </c>
      <c r="I155" s="81">
        <f t="shared" ref="I155:L155" ca="1" si="64">+H154-I154</f>
        <v>-3179.971343996579</v>
      </c>
      <c r="J155" s="81">
        <f t="shared" ca="1" si="64"/>
        <v>-3183.08693435034</v>
      </c>
      <c r="K155" s="81">
        <f t="shared" ca="1" si="64"/>
        <v>-1891.2862375568257</v>
      </c>
      <c r="L155" s="81">
        <f t="shared" ca="1" si="64"/>
        <v>643.08297813174795</v>
      </c>
    </row>
    <row r="156" spans="1:12" ht="13.25" customHeight="1" x14ac:dyDescent="0.15">
      <c r="B156" s="7"/>
      <c r="C156" s="7"/>
      <c r="D156" s="7"/>
      <c r="E156" s="65"/>
      <c r="F156" s="65"/>
      <c r="G156" s="69"/>
      <c r="H156" s="65"/>
      <c r="I156" s="65"/>
      <c r="J156" s="65"/>
      <c r="K156" s="65"/>
      <c r="L156" s="65"/>
    </row>
    <row r="157" spans="1:12" ht="13.25" customHeight="1" x14ac:dyDescent="0.15">
      <c r="A157" s="114" t="s">
        <v>0</v>
      </c>
      <c r="B157" s="30" t="s">
        <v>185</v>
      </c>
      <c r="C157" s="30"/>
      <c r="D157" s="30"/>
      <c r="E157" s="31"/>
      <c r="F157" s="31"/>
      <c r="G157" s="31"/>
      <c r="H157" s="31"/>
      <c r="I157" s="31"/>
      <c r="J157" s="31"/>
      <c r="K157" s="31"/>
      <c r="L157" s="31"/>
    </row>
    <row r="158" spans="1:12" ht="13.25" customHeight="1" x14ac:dyDescent="0.15">
      <c r="B158" s="54" t="s">
        <v>173</v>
      </c>
      <c r="C158" s="54"/>
      <c r="D158" s="54"/>
      <c r="E158" s="52">
        <f>+E$7</f>
        <v>43856</v>
      </c>
      <c r="F158" s="52">
        <f t="shared" ref="F158:L158" si="65">+F$7</f>
        <v>44227</v>
      </c>
      <c r="G158" s="113">
        <f t="shared" si="65"/>
        <v>44592</v>
      </c>
      <c r="H158" s="53">
        <f t="shared" si="65"/>
        <v>44957</v>
      </c>
      <c r="I158" s="53">
        <f t="shared" si="65"/>
        <v>45322</v>
      </c>
      <c r="J158" s="53">
        <f t="shared" si="65"/>
        <v>45688</v>
      </c>
      <c r="K158" s="53">
        <f t="shared" si="65"/>
        <v>46053</v>
      </c>
      <c r="L158" s="53">
        <f t="shared" si="65"/>
        <v>46418</v>
      </c>
    </row>
    <row r="159" spans="1:12" ht="13.25" customHeight="1" x14ac:dyDescent="0.15">
      <c r="B159" s="33"/>
      <c r="C159" s="33"/>
      <c r="D159" s="33"/>
      <c r="E159" s="34"/>
      <c r="F159" s="34"/>
      <c r="G159" s="58"/>
      <c r="H159" s="34"/>
      <c r="I159" s="34"/>
      <c r="J159" s="34"/>
      <c r="K159" s="34"/>
      <c r="L159" s="34"/>
    </row>
    <row r="160" spans="1:12" s="108" customFormat="1" ht="13.25" customHeight="1" x14ac:dyDescent="0.15">
      <c r="A160" s="114"/>
      <c r="B160" s="17" t="s">
        <v>105</v>
      </c>
      <c r="C160" s="17"/>
      <c r="D160" s="17"/>
      <c r="E160" s="15"/>
      <c r="F160" s="15"/>
      <c r="G160" s="61"/>
      <c r="H160" s="10">
        <f>+G163</f>
        <v>2778</v>
      </c>
      <c r="I160" s="10">
        <f ca="1">+H163</f>
        <v>3378.1176000000005</v>
      </c>
      <c r="J160" s="10">
        <f ca="1">+I163</f>
        <v>4160.2698468750004</v>
      </c>
      <c r="K160" s="10">
        <f ca="1">+J163</f>
        <v>5015.9247323450018</v>
      </c>
      <c r="L160" s="10">
        <f ca="1">+K163</f>
        <v>5763.506331151495</v>
      </c>
    </row>
    <row r="161" spans="1:12" ht="13.25" customHeight="1" x14ac:dyDescent="0.15">
      <c r="B161" s="7" t="s">
        <v>34</v>
      </c>
      <c r="C161" s="7"/>
      <c r="D161" s="7"/>
      <c r="E161" s="11">
        <v>489</v>
      </c>
      <c r="F161" s="11">
        <v>1128</v>
      </c>
      <c r="G161" s="56">
        <v>976</v>
      </c>
      <c r="H161" s="65">
        <f ca="1">+H165*H9</f>
        <v>2000.3920000000005</v>
      </c>
      <c r="I161" s="65">
        <f ca="1">+I165*I9</f>
        <v>3128.6089875000002</v>
      </c>
      <c r="J161" s="65">
        <f ca="1">+J165*J9</f>
        <v>4278.2744273500002</v>
      </c>
      <c r="K161" s="65">
        <f ca="1">+K165*K9</f>
        <v>4983.8773253766249</v>
      </c>
      <c r="L161" s="65">
        <f ca="1">+L165*L9</f>
        <v>4784.5222323615599</v>
      </c>
    </row>
    <row r="162" spans="1:12" ht="13.25" customHeight="1" x14ac:dyDescent="0.15">
      <c r="B162" s="7" t="s">
        <v>35</v>
      </c>
      <c r="C162" s="7"/>
      <c r="D162" s="7"/>
      <c r="E162" s="11">
        <v>-355</v>
      </c>
      <c r="F162" s="11">
        <v>-486</v>
      </c>
      <c r="G162" s="56">
        <v>-611</v>
      </c>
      <c r="H162" s="65">
        <f ca="1">-H170*H161</f>
        <v>-1400.2744000000002</v>
      </c>
      <c r="I162" s="65">
        <f t="shared" ref="I162:L162" ca="1" si="66">-I170*I161</f>
        <v>-2346.4567406250003</v>
      </c>
      <c r="J162" s="65">
        <f t="shared" ca="1" si="66"/>
        <v>-3422.6195418800003</v>
      </c>
      <c r="K162" s="65">
        <f t="shared" ca="1" si="66"/>
        <v>-4236.2957265701316</v>
      </c>
      <c r="L162" s="65">
        <f t="shared" ca="1" si="66"/>
        <v>-4306.0700091254048</v>
      </c>
    </row>
    <row r="163" spans="1:12" s="108" customFormat="1" ht="13.25" customHeight="1" x14ac:dyDescent="0.15">
      <c r="A163" s="114"/>
      <c r="B163" s="22" t="s">
        <v>106</v>
      </c>
      <c r="C163" s="22"/>
      <c r="D163" s="22"/>
      <c r="E163" s="19"/>
      <c r="F163" s="19"/>
      <c r="G163" s="57">
        <f>+G104</f>
        <v>2778</v>
      </c>
      <c r="H163" s="13">
        <f ca="1">+SUM(H160:H162)</f>
        <v>3378.1176000000005</v>
      </c>
      <c r="I163" s="13">
        <f t="shared" ref="I163:L163" ca="1" si="67">+SUM(I160:I162)</f>
        <v>4160.2698468750004</v>
      </c>
      <c r="J163" s="13">
        <f t="shared" ca="1" si="67"/>
        <v>5015.9247323450018</v>
      </c>
      <c r="K163" s="13">
        <f t="shared" ca="1" si="67"/>
        <v>5763.506331151495</v>
      </c>
      <c r="L163" s="13">
        <f t="shared" ca="1" si="67"/>
        <v>6241.9585543876501</v>
      </c>
    </row>
    <row r="164" spans="1:12" ht="13.25" customHeight="1" x14ac:dyDescent="0.15">
      <c r="B164" s="1"/>
      <c r="C164" s="1"/>
      <c r="D164" s="1"/>
      <c r="E164" s="15"/>
      <c r="F164" s="15"/>
      <c r="G164" s="61"/>
      <c r="H164" s="15"/>
      <c r="I164" s="15"/>
      <c r="J164" s="15"/>
      <c r="K164" s="15"/>
      <c r="L164" s="15"/>
    </row>
    <row r="165" spans="1:12" s="108" customFormat="1" ht="13.25" customHeight="1" x14ac:dyDescent="0.15">
      <c r="A165" s="115"/>
      <c r="B165" s="76" t="s">
        <v>107</v>
      </c>
      <c r="C165" s="76"/>
      <c r="D165" s="76"/>
      <c r="E165" s="77">
        <f>E161/E9</f>
        <v>4.478842278805642E-2</v>
      </c>
      <c r="F165" s="77">
        <f>F161/F9</f>
        <v>6.7646176911544231E-2</v>
      </c>
      <c r="G165" s="78">
        <f>G161/G9</f>
        <v>3.6263654603552055E-2</v>
      </c>
      <c r="H165" s="79">
        <f ca="1">+OFFSET(H165,$H$3,0)</f>
        <v>0.04</v>
      </c>
      <c r="I165" s="79">
        <f ca="1">+OFFSET(I165,$H$3,0)</f>
        <v>3.7499999999999999E-2</v>
      </c>
      <c r="J165" s="79">
        <f ca="1">+OFFSET(J165,$H$3,0)</f>
        <v>3.4999999999999996E-2</v>
      </c>
      <c r="K165" s="79">
        <f ca="1">+OFFSET(K165,$H$3,0)</f>
        <v>3.2499999999999994E-2</v>
      </c>
      <c r="L165" s="79">
        <f ca="1">+OFFSET(L165,$H$3,0)</f>
        <v>0.03</v>
      </c>
    </row>
    <row r="166" spans="1:12" ht="13.25" customHeight="1" x14ac:dyDescent="0.15">
      <c r="B166" s="7" t="s">
        <v>70</v>
      </c>
      <c r="C166" s="7"/>
      <c r="D166" s="7"/>
      <c r="E166" s="65"/>
      <c r="F166" s="65"/>
      <c r="G166" s="69"/>
      <c r="H166" s="70">
        <v>4.4999999999999998E-2</v>
      </c>
      <c r="I166" s="71">
        <f ca="1">+H166-($H166-$L166)/COUNTA($H166:$K166)</f>
        <v>4.2499999999999996E-2</v>
      </c>
      <c r="J166" s="71">
        <f t="shared" ref="J166:K166" ca="1" si="68">+I166-($H166-$L166)/COUNTA($H166:$K166)</f>
        <v>3.9999999999999994E-2</v>
      </c>
      <c r="K166" s="71">
        <f t="shared" ca="1" si="68"/>
        <v>3.7499999999999992E-2</v>
      </c>
      <c r="L166" s="72">
        <v>3.5000000000000003E-2</v>
      </c>
    </row>
    <row r="167" spans="1:12" ht="13.25" customHeight="1" x14ac:dyDescent="0.15">
      <c r="B167" s="7" t="s">
        <v>71</v>
      </c>
      <c r="C167" s="7"/>
      <c r="D167" s="7"/>
      <c r="E167" s="65"/>
      <c r="F167" s="65"/>
      <c r="G167" s="69"/>
      <c r="H167" s="73">
        <v>0.04</v>
      </c>
      <c r="I167" s="97">
        <f t="shared" ref="I167:K168" ca="1" si="69">+H167-($H167-$L167)/COUNTA($H167:$K167)</f>
        <v>3.7499999999999999E-2</v>
      </c>
      <c r="J167" s="97">
        <f t="shared" ca="1" si="69"/>
        <v>3.4999999999999996E-2</v>
      </c>
      <c r="K167" s="97">
        <f t="shared" ca="1" si="69"/>
        <v>3.2499999999999994E-2</v>
      </c>
      <c r="L167" s="80">
        <v>0.03</v>
      </c>
    </row>
    <row r="168" spans="1:12" ht="13.25" customHeight="1" x14ac:dyDescent="0.15">
      <c r="B168" s="7" t="s">
        <v>72</v>
      </c>
      <c r="C168" s="7"/>
      <c r="D168" s="7"/>
      <c r="E168" s="65"/>
      <c r="F168" s="65"/>
      <c r="G168" s="69"/>
      <c r="H168" s="73">
        <v>0.05</v>
      </c>
      <c r="I168" s="97">
        <f t="shared" ca="1" si="69"/>
        <v>4.8750000000000002E-2</v>
      </c>
      <c r="J168" s="97">
        <f t="shared" ca="1" si="69"/>
        <v>4.7500000000000001E-2</v>
      </c>
      <c r="K168" s="97">
        <f t="shared" ca="1" si="69"/>
        <v>4.6249999999999999E-2</v>
      </c>
      <c r="L168" s="80">
        <v>4.4999999999999998E-2</v>
      </c>
    </row>
    <row r="169" spans="1:12" ht="13.25" customHeight="1" x14ac:dyDescent="0.15">
      <c r="B169" s="7"/>
      <c r="C169" s="7"/>
      <c r="D169" s="7"/>
      <c r="E169" s="65"/>
      <c r="F169" s="65"/>
      <c r="G169" s="69"/>
      <c r="H169" s="65"/>
      <c r="I169" s="65"/>
      <c r="J169" s="65"/>
      <c r="K169" s="65"/>
      <c r="L169" s="65"/>
    </row>
    <row r="170" spans="1:12" s="110" customFormat="1" ht="13.25" customHeight="1" x14ac:dyDescent="0.15">
      <c r="A170" s="115"/>
      <c r="B170" s="76" t="s">
        <v>108</v>
      </c>
      <c r="C170" s="76"/>
      <c r="D170" s="76"/>
      <c r="E170" s="79">
        <f>-E162/E161</f>
        <v>0.72597137014314927</v>
      </c>
      <c r="F170" s="79">
        <f>-F162/F161</f>
        <v>0.43085106382978722</v>
      </c>
      <c r="G170" s="100">
        <f>-G162/G161</f>
        <v>0.62602459016393441</v>
      </c>
      <c r="H170" s="79">
        <f ca="1">+OFFSET(H170,$H$3,0)</f>
        <v>0.7</v>
      </c>
      <c r="I170" s="79">
        <f ca="1">+OFFSET(I170,$H$3,0)</f>
        <v>0.75</v>
      </c>
      <c r="J170" s="79">
        <f ca="1">+OFFSET(J170,$H$3,0)</f>
        <v>0.8</v>
      </c>
      <c r="K170" s="79">
        <f ca="1">+OFFSET(K170,$H$3,0)</f>
        <v>0.85000000000000009</v>
      </c>
      <c r="L170" s="79">
        <f ca="1">+OFFSET(L170,$H$3,0)</f>
        <v>0.90000000000000013</v>
      </c>
    </row>
    <row r="171" spans="1:12" ht="13.25" customHeight="1" x14ac:dyDescent="0.15">
      <c r="B171" s="7" t="s">
        <v>70</v>
      </c>
      <c r="C171" s="7"/>
      <c r="D171" s="7"/>
      <c r="E171" s="65"/>
      <c r="F171" s="65"/>
      <c r="G171" s="69"/>
      <c r="H171" s="73">
        <v>0.65</v>
      </c>
      <c r="I171" s="97">
        <f ca="1">+H171-($H171-$L171)/COUNTA($H171:$K171)</f>
        <v>0.70000000000000007</v>
      </c>
      <c r="J171" s="97">
        <f t="shared" ref="J171:K171" ca="1" si="70">+I171-($H171-$L171)/COUNTA($H171:$K171)</f>
        <v>0.75000000000000011</v>
      </c>
      <c r="K171" s="97">
        <f t="shared" ca="1" si="70"/>
        <v>0.80000000000000016</v>
      </c>
      <c r="L171" s="80">
        <f t="shared" ref="L171:L172" ca="1" si="71">+K171+5%</f>
        <v>0.8500000000000002</v>
      </c>
    </row>
    <row r="172" spans="1:12" ht="13.25" customHeight="1" x14ac:dyDescent="0.15">
      <c r="B172" s="7" t="s">
        <v>71</v>
      </c>
      <c r="C172" s="7"/>
      <c r="D172" s="7"/>
      <c r="E172" s="65"/>
      <c r="F172" s="65"/>
      <c r="G172" s="69"/>
      <c r="H172" s="73">
        <v>0.7</v>
      </c>
      <c r="I172" s="97">
        <f t="shared" ref="I172:K173" ca="1" si="72">+H172-($H172-$L172)/COUNTA($H172:$K172)</f>
        <v>0.75</v>
      </c>
      <c r="J172" s="97">
        <f t="shared" ca="1" si="72"/>
        <v>0.8</v>
      </c>
      <c r="K172" s="97">
        <f t="shared" ca="1" si="72"/>
        <v>0.85000000000000009</v>
      </c>
      <c r="L172" s="80">
        <f t="shared" ca="1" si="71"/>
        <v>0.90000000000000013</v>
      </c>
    </row>
    <row r="173" spans="1:12" ht="13.25" customHeight="1" x14ac:dyDescent="0.15">
      <c r="B173" s="7" t="s">
        <v>72</v>
      </c>
      <c r="C173" s="7"/>
      <c r="D173" s="7"/>
      <c r="E173" s="65"/>
      <c r="F173" s="65"/>
      <c r="G173" s="69"/>
      <c r="H173" s="73">
        <v>0.4</v>
      </c>
      <c r="I173" s="97">
        <f t="shared" ca="1" si="72"/>
        <v>0.46250000000000002</v>
      </c>
      <c r="J173" s="97">
        <f t="shared" ca="1" si="72"/>
        <v>0.52500000000000002</v>
      </c>
      <c r="K173" s="97">
        <f t="shared" ca="1" si="72"/>
        <v>0.58750000000000002</v>
      </c>
      <c r="L173" s="80">
        <v>0.65</v>
      </c>
    </row>
    <row r="174" spans="1:12" ht="13.25" customHeight="1" x14ac:dyDescent="0.15">
      <c r="E174" s="65"/>
      <c r="F174" s="65"/>
      <c r="G174" s="69"/>
      <c r="H174" s="65"/>
      <c r="I174" s="65"/>
      <c r="J174" s="65"/>
      <c r="K174" s="65"/>
      <c r="L174" s="65"/>
    </row>
    <row r="175" spans="1:12" s="108" customFormat="1" ht="13.25" customHeight="1" x14ac:dyDescent="0.15">
      <c r="A175" s="114"/>
      <c r="B175" s="17" t="s">
        <v>109</v>
      </c>
      <c r="C175" s="17"/>
      <c r="D175" s="17"/>
      <c r="E175" s="15"/>
      <c r="F175" s="15"/>
      <c r="G175" s="61"/>
      <c r="H175" s="10">
        <f>+G105</f>
        <v>6688</v>
      </c>
      <c r="I175" s="10">
        <f>+H178</f>
        <v>6103</v>
      </c>
      <c r="J175" s="10">
        <f t="shared" ref="J175:L175" si="73">+I178</f>
        <v>5642</v>
      </c>
      <c r="K175" s="10">
        <f t="shared" si="73"/>
        <v>5237</v>
      </c>
      <c r="L175" s="10">
        <f t="shared" si="73"/>
        <v>5116</v>
      </c>
    </row>
    <row r="176" spans="1:12" ht="13.25" customHeight="1" x14ac:dyDescent="0.15">
      <c r="B176" s="64" t="s">
        <v>110</v>
      </c>
      <c r="E176" s="11">
        <v>-25</v>
      </c>
      <c r="F176" s="11">
        <v>-612</v>
      </c>
      <c r="G176" s="56">
        <v>-563</v>
      </c>
      <c r="H176" s="11">
        <v>-585</v>
      </c>
      <c r="I176" s="11">
        <v>-461</v>
      </c>
      <c r="J176" s="11">
        <v>-405</v>
      </c>
      <c r="K176" s="11">
        <v>-121</v>
      </c>
      <c r="L176" s="11">
        <v>-16</v>
      </c>
    </row>
    <row r="177" spans="1:12" ht="13.25" customHeight="1" x14ac:dyDescent="0.15">
      <c r="B177" s="64" t="s">
        <v>111</v>
      </c>
      <c r="E177" s="65"/>
      <c r="F177" s="65"/>
      <c r="G177" s="69"/>
      <c r="H177" s="11">
        <v>0</v>
      </c>
      <c r="I177" s="65">
        <f>+H177</f>
        <v>0</v>
      </c>
      <c r="J177" s="65">
        <f t="shared" ref="J177:L177" si="74">+I177</f>
        <v>0</v>
      </c>
      <c r="K177" s="65">
        <f t="shared" si="74"/>
        <v>0</v>
      </c>
      <c r="L177" s="65">
        <f t="shared" si="74"/>
        <v>0</v>
      </c>
    </row>
    <row r="178" spans="1:12" s="108" customFormat="1" ht="13.25" customHeight="1" x14ac:dyDescent="0.15">
      <c r="A178" s="114"/>
      <c r="B178" s="12" t="s">
        <v>112</v>
      </c>
      <c r="C178" s="12"/>
      <c r="D178" s="12"/>
      <c r="E178" s="19"/>
      <c r="F178" s="19"/>
      <c r="G178" s="63"/>
      <c r="H178" s="13">
        <f>SUM(H175:H177)</f>
        <v>6103</v>
      </c>
      <c r="I178" s="13">
        <f t="shared" ref="I178:L178" si="75">SUM(I175:I177)</f>
        <v>5642</v>
      </c>
      <c r="J178" s="13">
        <f t="shared" si="75"/>
        <v>5237</v>
      </c>
      <c r="K178" s="13">
        <f t="shared" si="75"/>
        <v>5116</v>
      </c>
      <c r="L178" s="13">
        <f t="shared" si="75"/>
        <v>5100</v>
      </c>
    </row>
    <row r="179" spans="1:12" s="108" customFormat="1" ht="13.25" customHeight="1" x14ac:dyDescent="0.15">
      <c r="A179" s="114"/>
      <c r="B179" s="1"/>
      <c r="C179" s="1"/>
      <c r="D179" s="1"/>
      <c r="E179" s="15"/>
      <c r="F179" s="15"/>
      <c r="G179" s="61"/>
      <c r="H179" s="15"/>
      <c r="I179" s="15"/>
      <c r="J179" s="15"/>
      <c r="K179" s="15"/>
      <c r="L179" s="15"/>
    </row>
    <row r="180" spans="1:12" s="108" customFormat="1" ht="13.25" customHeight="1" x14ac:dyDescent="0.15">
      <c r="A180" s="114" t="s">
        <v>0</v>
      </c>
      <c r="B180" s="30" t="s">
        <v>113</v>
      </c>
      <c r="C180" s="30"/>
      <c r="D180" s="30"/>
      <c r="E180" s="31"/>
      <c r="F180" s="31"/>
      <c r="G180" s="31"/>
      <c r="H180" s="31"/>
      <c r="I180" s="31"/>
      <c r="J180" s="31"/>
      <c r="K180" s="31"/>
      <c r="L180" s="31"/>
    </row>
    <row r="181" spans="1:12" ht="13.25" customHeight="1" x14ac:dyDescent="0.15">
      <c r="B181" s="54" t="s">
        <v>173</v>
      </c>
      <c r="C181" s="54"/>
      <c r="D181" s="54"/>
      <c r="E181" s="52">
        <f>+E$7</f>
        <v>43856</v>
      </c>
      <c r="F181" s="52">
        <f t="shared" ref="F181:G181" si="76">+F$7</f>
        <v>44227</v>
      </c>
      <c r="G181" s="113">
        <f t="shared" si="76"/>
        <v>44592</v>
      </c>
      <c r="H181" s="53">
        <f t="shared" ref="H181:L181" si="77">+H$7</f>
        <v>44957</v>
      </c>
      <c r="I181" s="53">
        <f t="shared" si="77"/>
        <v>45322</v>
      </c>
      <c r="J181" s="53">
        <f t="shared" si="77"/>
        <v>45688</v>
      </c>
      <c r="K181" s="53">
        <f t="shared" si="77"/>
        <v>46053</v>
      </c>
      <c r="L181" s="53">
        <f t="shared" si="77"/>
        <v>46418</v>
      </c>
    </row>
    <row r="182" spans="1:12" s="108" customFormat="1" ht="13.25" customHeight="1" x14ac:dyDescent="0.15">
      <c r="A182" s="114"/>
      <c r="B182" s="33"/>
      <c r="C182" s="33"/>
      <c r="D182" s="33"/>
      <c r="E182" s="34"/>
      <c r="F182" s="34"/>
      <c r="G182" s="58"/>
      <c r="H182" s="34"/>
      <c r="I182" s="34"/>
      <c r="J182" s="34"/>
      <c r="K182" s="34"/>
      <c r="L182" s="34"/>
    </row>
    <row r="183" spans="1:12" s="108" customFormat="1" ht="13.25" customHeight="1" x14ac:dyDescent="0.15">
      <c r="A183" s="114"/>
      <c r="B183" s="1" t="s">
        <v>114</v>
      </c>
      <c r="C183" s="1"/>
      <c r="D183" s="1"/>
      <c r="E183" s="15"/>
      <c r="F183" s="15"/>
      <c r="G183" s="61"/>
      <c r="H183" s="10">
        <f>+G186</f>
        <v>16235</v>
      </c>
      <c r="I183" s="10">
        <f t="shared" ref="I183:L183" ca="1" si="78">+H186</f>
        <v>33461.829633251094</v>
      </c>
      <c r="J183" s="10">
        <f t="shared" ca="1" si="78"/>
        <v>63918.975903212398</v>
      </c>
      <c r="K183" s="10">
        <f t="shared" ca="1" si="78"/>
        <v>110900.80321165328</v>
      </c>
      <c r="L183" s="10">
        <f t="shared" ca="1" si="78"/>
        <v>172705.22156160942</v>
      </c>
    </row>
    <row r="184" spans="1:12" ht="13.25" customHeight="1" x14ac:dyDescent="0.15">
      <c r="B184" s="7" t="s">
        <v>115</v>
      </c>
      <c r="C184" s="7"/>
      <c r="D184" s="7"/>
      <c r="E184" s="65"/>
      <c r="F184" s="65"/>
      <c r="G184" s="69"/>
      <c r="H184" s="65">
        <f ca="1">+H20</f>
        <v>17851.636925648803</v>
      </c>
      <c r="I184" s="65">
        <f ca="1">+I20</f>
        <v>31561.80960617751</v>
      </c>
      <c r="J184" s="65">
        <f ca="1">+J20</f>
        <v>48685.831407710764</v>
      </c>
      <c r="K184" s="65">
        <f ca="1">+K20</f>
        <v>64046.029378192878</v>
      </c>
      <c r="L184" s="65">
        <f ca="1">+L20</f>
        <v>69645.62756500805</v>
      </c>
    </row>
    <row r="185" spans="1:12" ht="13.25" customHeight="1" x14ac:dyDescent="0.15">
      <c r="B185" s="7" t="s">
        <v>116</v>
      </c>
      <c r="C185" s="7"/>
      <c r="D185" s="7"/>
      <c r="E185" s="11">
        <v>-390</v>
      </c>
      <c r="F185" s="11">
        <v>-395</v>
      </c>
      <c r="G185" s="56">
        <v>-399</v>
      </c>
      <c r="H185" s="65">
        <f ca="1">-H188*H20</f>
        <v>-624.80729239770812</v>
      </c>
      <c r="I185" s="65">
        <f ca="1">-I188*I20</f>
        <v>-1104.6633362162129</v>
      </c>
      <c r="J185" s="65">
        <f ca="1">-J188*J20</f>
        <v>-1704.0040992698769</v>
      </c>
      <c r="K185" s="65">
        <f ca="1">-K188*K20</f>
        <v>-2241.6110282367508</v>
      </c>
      <c r="L185" s="65">
        <f ca="1">-L188*L20</f>
        <v>-2437.5969647752818</v>
      </c>
    </row>
    <row r="186" spans="1:12" s="108" customFormat="1" ht="13.25" customHeight="1" x14ac:dyDescent="0.15">
      <c r="A186" s="114"/>
      <c r="B186" s="12" t="s">
        <v>117</v>
      </c>
      <c r="C186" s="12"/>
      <c r="D186" s="12"/>
      <c r="E186" s="19"/>
      <c r="F186" s="19"/>
      <c r="G186" s="57">
        <f>+G121</f>
        <v>16235</v>
      </c>
      <c r="H186" s="13">
        <f ca="1">SUM(H183:H185)</f>
        <v>33461.829633251094</v>
      </c>
      <c r="I186" s="13">
        <f t="shared" ref="I186:L186" ca="1" si="79">SUM(I183:I185)</f>
        <v>63918.975903212398</v>
      </c>
      <c r="J186" s="13">
        <f t="shared" ca="1" si="79"/>
        <v>110900.80321165328</v>
      </c>
      <c r="K186" s="13">
        <f t="shared" ca="1" si="79"/>
        <v>172705.22156160942</v>
      </c>
      <c r="L186" s="13">
        <f t="shared" ca="1" si="79"/>
        <v>239913.25216184219</v>
      </c>
    </row>
    <row r="187" spans="1:12" ht="13.25" customHeight="1" x14ac:dyDescent="0.15">
      <c r="B187" s="7"/>
      <c r="C187" s="7"/>
      <c r="D187" s="7"/>
      <c r="E187" s="65"/>
      <c r="F187" s="65"/>
      <c r="G187" s="69"/>
      <c r="H187" s="65"/>
      <c r="I187" s="65"/>
      <c r="J187" s="65"/>
      <c r="K187" s="65"/>
      <c r="L187" s="65"/>
    </row>
    <row r="188" spans="1:12" ht="13.25" customHeight="1" x14ac:dyDescent="0.15">
      <c r="B188" s="7" t="s">
        <v>118</v>
      </c>
      <c r="C188" s="7"/>
      <c r="D188" s="7"/>
      <c r="E188" s="83">
        <f>-E185/E20</f>
        <v>0.13948497854077252</v>
      </c>
      <c r="F188" s="83">
        <f>-F185/F20</f>
        <v>9.1181902123730382E-2</v>
      </c>
      <c r="G188" s="84">
        <f>-G185/G20</f>
        <v>4.0914684167350286E-2</v>
      </c>
      <c r="H188" s="101">
        <v>3.5000000000000003E-2</v>
      </c>
      <c r="I188" s="83">
        <f t="shared" ref="I188:L188" si="80">+H188</f>
        <v>3.5000000000000003E-2</v>
      </c>
      <c r="J188" s="83">
        <f t="shared" si="80"/>
        <v>3.5000000000000003E-2</v>
      </c>
      <c r="K188" s="83">
        <f t="shared" si="80"/>
        <v>3.5000000000000003E-2</v>
      </c>
      <c r="L188" s="83">
        <f t="shared" si="80"/>
        <v>3.5000000000000003E-2</v>
      </c>
    </row>
    <row r="189" spans="1:12" ht="13.25" customHeight="1" x14ac:dyDescent="0.15">
      <c r="E189" s="65"/>
      <c r="F189" s="65"/>
      <c r="G189" s="69"/>
      <c r="H189" s="65"/>
      <c r="I189" s="65"/>
      <c r="J189" s="65"/>
      <c r="K189" s="65"/>
      <c r="L189" s="65"/>
    </row>
    <row r="190" spans="1:12" ht="13.25" customHeight="1" x14ac:dyDescent="0.15">
      <c r="A190" s="114" t="s">
        <v>0</v>
      </c>
      <c r="B190" s="30" t="s">
        <v>28</v>
      </c>
      <c r="C190" s="30"/>
      <c r="D190" s="30"/>
      <c r="E190" s="31"/>
      <c r="F190" s="31"/>
      <c r="G190" s="31"/>
      <c r="H190" s="31"/>
      <c r="I190" s="31"/>
      <c r="J190" s="31"/>
      <c r="K190" s="31"/>
      <c r="L190" s="31"/>
    </row>
    <row r="191" spans="1:12" ht="13.25" customHeight="1" x14ac:dyDescent="0.15">
      <c r="B191" s="54" t="s">
        <v>173</v>
      </c>
      <c r="C191" s="54"/>
      <c r="D191" s="54"/>
      <c r="E191" s="52"/>
      <c r="F191" s="52"/>
      <c r="G191" s="113"/>
      <c r="H191" s="53">
        <f t="shared" ref="H191:L191" si="81">+H$7</f>
        <v>44957</v>
      </c>
      <c r="I191" s="53">
        <f t="shared" si="81"/>
        <v>45322</v>
      </c>
      <c r="J191" s="53">
        <f t="shared" si="81"/>
        <v>45688</v>
      </c>
      <c r="K191" s="53">
        <f t="shared" si="81"/>
        <v>46053</v>
      </c>
      <c r="L191" s="53">
        <f t="shared" si="81"/>
        <v>46418</v>
      </c>
    </row>
    <row r="192" spans="1:12" ht="13.25" customHeight="1" x14ac:dyDescent="0.15">
      <c r="B192" s="33"/>
      <c r="C192" s="33"/>
      <c r="D192" s="33"/>
      <c r="E192" s="34"/>
      <c r="F192" s="34"/>
      <c r="G192" s="58"/>
      <c r="H192" s="34"/>
      <c r="I192" s="34"/>
      <c r="J192" s="34"/>
      <c r="K192" s="34"/>
      <c r="L192" s="34"/>
    </row>
    <row r="193" spans="2:12" ht="13.25" customHeight="1" x14ac:dyDescent="0.15">
      <c r="B193" s="7" t="s">
        <v>10</v>
      </c>
      <c r="C193" s="7"/>
      <c r="D193" s="7"/>
      <c r="E193" s="65"/>
      <c r="F193" s="65"/>
      <c r="G193" s="69"/>
      <c r="H193" s="81">
        <f ca="1">H20</f>
        <v>17851.636925648803</v>
      </c>
      <c r="I193" s="81">
        <f ca="1">I20</f>
        <v>31561.80960617751</v>
      </c>
      <c r="J193" s="81">
        <f ca="1">J20</f>
        <v>48685.831407710764</v>
      </c>
      <c r="K193" s="81">
        <f ca="1">K20</f>
        <v>64046.029378192878</v>
      </c>
      <c r="L193" s="81">
        <f ca="1">L20</f>
        <v>69645.62756500805</v>
      </c>
    </row>
    <row r="194" spans="2:12" ht="13.25" customHeight="1" x14ac:dyDescent="0.15">
      <c r="B194" s="7" t="s">
        <v>29</v>
      </c>
      <c r="C194" s="7"/>
      <c r="D194" s="7"/>
      <c r="E194" s="65"/>
      <c r="F194" s="65"/>
      <c r="G194" s="69"/>
      <c r="H194" s="65">
        <f ca="1">-SUM(H162,H176)</f>
        <v>1985.2744000000002</v>
      </c>
      <c r="I194" s="65">
        <f ca="1">-SUM(I162,I176)</f>
        <v>2807.4567406250003</v>
      </c>
      <c r="J194" s="65">
        <f ca="1">-SUM(J162,J176)</f>
        <v>3827.6195418800003</v>
      </c>
      <c r="K194" s="65">
        <f ca="1">-SUM(K162,K176)</f>
        <v>4357.2957265701316</v>
      </c>
      <c r="L194" s="65">
        <f ca="1">-SUM(L162,L176)</f>
        <v>4322.0700091254048</v>
      </c>
    </row>
    <row r="195" spans="2:12" ht="13.25" customHeight="1" x14ac:dyDescent="0.15">
      <c r="B195" s="7" t="s">
        <v>30</v>
      </c>
      <c r="C195" s="7"/>
      <c r="D195" s="7"/>
      <c r="E195" s="65"/>
      <c r="F195" s="65"/>
      <c r="G195" s="69"/>
      <c r="H195" s="65">
        <f ca="1">+H80</f>
        <v>4000.784000000001</v>
      </c>
      <c r="I195" s="65">
        <f ca="1">+I80</f>
        <v>6257.2179750000005</v>
      </c>
      <c r="J195" s="65">
        <f ca="1">+J80</f>
        <v>8556.5488547000004</v>
      </c>
      <c r="K195" s="65">
        <f ca="1">+K80</f>
        <v>9967.7546507532497</v>
      </c>
      <c r="L195" s="65">
        <f ca="1">+L80</f>
        <v>9569.0444647231197</v>
      </c>
    </row>
    <row r="196" spans="2:12" ht="13.25" customHeight="1" x14ac:dyDescent="0.15">
      <c r="B196" s="7" t="s">
        <v>27</v>
      </c>
      <c r="C196" s="7"/>
      <c r="D196" s="7"/>
      <c r="E196" s="65"/>
      <c r="F196" s="65"/>
      <c r="G196" s="69"/>
      <c r="H196" s="65">
        <f ca="1">+H155</f>
        <v>-2545.2796931506846</v>
      </c>
      <c r="I196" s="65">
        <f ca="1">+I155</f>
        <v>-3179.971343996579</v>
      </c>
      <c r="J196" s="65">
        <f ca="1">+J155</f>
        <v>-3183.08693435034</v>
      </c>
      <c r="K196" s="65">
        <f ca="1">+K155</f>
        <v>-1891.2862375568257</v>
      </c>
      <c r="L196" s="65">
        <f ca="1">+L155</f>
        <v>643.08297813174795</v>
      </c>
    </row>
    <row r="197" spans="2:12" ht="13.25" customHeight="1" x14ac:dyDescent="0.15">
      <c r="B197" s="7" t="s">
        <v>119</v>
      </c>
      <c r="C197" s="7"/>
      <c r="D197" s="7"/>
      <c r="E197" s="65"/>
      <c r="F197" s="65"/>
      <c r="G197" s="69"/>
      <c r="H197" s="65">
        <f>(G106-H106)</f>
        <v>0</v>
      </c>
      <c r="I197" s="65">
        <f>(H106-I106)</f>
        <v>0</v>
      </c>
      <c r="J197" s="65">
        <f>(I106-J106)</f>
        <v>0</v>
      </c>
      <c r="K197" s="65">
        <f>(J106-K106)</f>
        <v>0</v>
      </c>
      <c r="L197" s="65">
        <f>(K106-L106)</f>
        <v>0</v>
      </c>
    </row>
    <row r="198" spans="2:12" ht="13.25" customHeight="1" x14ac:dyDescent="0.15">
      <c r="B198" s="7" t="s">
        <v>120</v>
      </c>
      <c r="C198" s="7"/>
      <c r="D198" s="7"/>
      <c r="E198" s="65"/>
      <c r="F198" s="65"/>
      <c r="G198" s="69"/>
      <c r="H198" s="65">
        <f>+(H115-G115)</f>
        <v>0</v>
      </c>
      <c r="I198" s="65">
        <f t="shared" ref="I198:L198" si="82">+(I115-H115)</f>
        <v>0</v>
      </c>
      <c r="J198" s="65">
        <f t="shared" si="82"/>
        <v>0</v>
      </c>
      <c r="K198" s="65">
        <f t="shared" si="82"/>
        <v>0</v>
      </c>
      <c r="L198" s="65">
        <f t="shared" si="82"/>
        <v>0</v>
      </c>
    </row>
    <row r="199" spans="2:12" ht="13.25" customHeight="1" x14ac:dyDescent="0.15">
      <c r="B199" s="12" t="s">
        <v>121</v>
      </c>
      <c r="C199" s="12"/>
      <c r="D199" s="12"/>
      <c r="E199" s="19"/>
      <c r="F199" s="19"/>
      <c r="G199" s="63"/>
      <c r="H199" s="13">
        <f ca="1">SUM(H193:H198)</f>
        <v>21292.41563249812</v>
      </c>
      <c r="I199" s="13">
        <f ca="1">SUM(I193:I198)</f>
        <v>37446.512977805934</v>
      </c>
      <c r="J199" s="13">
        <f ca="1">SUM(J193:J198)</f>
        <v>57886.912869940425</v>
      </c>
      <c r="K199" s="13">
        <f ca="1">SUM(K193:K198)</f>
        <v>76479.793517959435</v>
      </c>
      <c r="L199" s="13">
        <f ca="1">SUM(L193:L198)</f>
        <v>84179.825016988325</v>
      </c>
    </row>
    <row r="200" spans="2:12" ht="13.25" customHeight="1" x14ac:dyDescent="0.15">
      <c r="B200" s="7"/>
      <c r="C200" s="7"/>
      <c r="D200" s="7"/>
      <c r="E200" s="65"/>
      <c r="F200" s="65"/>
      <c r="G200" s="69"/>
      <c r="H200" s="65"/>
      <c r="I200" s="65"/>
      <c r="J200" s="65"/>
      <c r="K200" s="65"/>
      <c r="L200" s="65"/>
    </row>
    <row r="201" spans="2:12" ht="13.25" customHeight="1" x14ac:dyDescent="0.15">
      <c r="B201" s="7" t="s">
        <v>32</v>
      </c>
      <c r="C201" s="7"/>
      <c r="D201" s="7"/>
      <c r="E201" s="65"/>
      <c r="F201" s="65"/>
      <c r="G201" s="69"/>
      <c r="H201" s="81">
        <f ca="1">-H161</f>
        <v>-2000.3920000000005</v>
      </c>
      <c r="I201" s="81">
        <f ca="1">-I161</f>
        <v>-3128.6089875000002</v>
      </c>
      <c r="J201" s="81">
        <f ca="1">-J161</f>
        <v>-4278.2744273500002</v>
      </c>
      <c r="K201" s="81">
        <f ca="1">-K161</f>
        <v>-4983.8773253766249</v>
      </c>
      <c r="L201" s="81">
        <f ca="1">-L161</f>
        <v>-4784.5222323615599</v>
      </c>
    </row>
    <row r="202" spans="2:12" ht="13.25" customHeight="1" x14ac:dyDescent="0.15">
      <c r="B202" s="7" t="s">
        <v>122</v>
      </c>
      <c r="C202" s="7"/>
      <c r="D202" s="7"/>
      <c r="E202" s="65"/>
      <c r="F202" s="65"/>
      <c r="G202" s="69"/>
      <c r="H202" s="65">
        <f>+(H120-G120)</f>
        <v>0</v>
      </c>
      <c r="I202" s="65">
        <f>+(I120-H120)</f>
        <v>0</v>
      </c>
      <c r="J202" s="65">
        <f>+(J120-I120)</f>
        <v>0</v>
      </c>
      <c r="K202" s="65">
        <f>+(K120-J120)</f>
        <v>0</v>
      </c>
      <c r="L202" s="65">
        <f>+(L120-K120)</f>
        <v>0</v>
      </c>
    </row>
    <row r="203" spans="2:12" ht="13.25" customHeight="1" x14ac:dyDescent="0.15">
      <c r="B203" s="12" t="s">
        <v>123</v>
      </c>
      <c r="C203" s="12"/>
      <c r="D203" s="12"/>
      <c r="E203" s="19"/>
      <c r="F203" s="19"/>
      <c r="G203" s="63"/>
      <c r="H203" s="13">
        <f ca="1">SUM(H201:H202)</f>
        <v>-2000.3920000000005</v>
      </c>
      <c r="I203" s="13">
        <f t="shared" ref="I203:L203" ca="1" si="83">SUM(I201:I202)</f>
        <v>-3128.6089875000002</v>
      </c>
      <c r="J203" s="13">
        <f t="shared" ca="1" si="83"/>
        <v>-4278.2744273500002</v>
      </c>
      <c r="K203" s="13">
        <f t="shared" ca="1" si="83"/>
        <v>-4983.8773253766249</v>
      </c>
      <c r="L203" s="13">
        <f t="shared" ca="1" si="83"/>
        <v>-4784.5222323615599</v>
      </c>
    </row>
    <row r="204" spans="2:12" ht="13.25" customHeight="1" x14ac:dyDescent="0.15">
      <c r="B204" s="7"/>
      <c r="C204" s="7"/>
      <c r="D204" s="7"/>
      <c r="E204" s="65"/>
      <c r="F204" s="65"/>
      <c r="G204" s="69"/>
      <c r="H204" s="65"/>
      <c r="I204" s="65"/>
      <c r="J204" s="65"/>
      <c r="K204" s="65"/>
      <c r="L204" s="65"/>
    </row>
    <row r="205" spans="2:12" ht="13.25" customHeight="1" x14ac:dyDescent="0.15">
      <c r="B205" s="7" t="s">
        <v>124</v>
      </c>
      <c r="C205" s="7"/>
      <c r="D205" s="7"/>
      <c r="E205" s="65"/>
      <c r="F205" s="65"/>
      <c r="G205" s="69"/>
      <c r="H205" s="81">
        <f ca="1">+H225</f>
        <v>0</v>
      </c>
      <c r="I205" s="81">
        <f ca="1">+I225</f>
        <v>0</v>
      </c>
      <c r="J205" s="81">
        <f ca="1">+J225</f>
        <v>0</v>
      </c>
      <c r="K205" s="81">
        <f ca="1">+K225</f>
        <v>0</v>
      </c>
      <c r="L205" s="81">
        <f ca="1">+L225</f>
        <v>0</v>
      </c>
    </row>
    <row r="206" spans="2:12" ht="13.25" customHeight="1" x14ac:dyDescent="0.15">
      <c r="B206" s="7" t="s">
        <v>125</v>
      </c>
      <c r="C206" s="7"/>
      <c r="D206" s="7"/>
      <c r="E206" s="65"/>
      <c r="F206" s="65"/>
      <c r="G206" s="69"/>
      <c r="H206" s="65">
        <f>+H220</f>
        <v>-21.891999999999999</v>
      </c>
      <c r="I206" s="65">
        <f ca="1">+I220</f>
        <v>-21.891999999999999</v>
      </c>
      <c r="J206" s="65">
        <f ca="1">+J220</f>
        <v>-21.891999999999999</v>
      </c>
      <c r="K206" s="65">
        <f ca="1">+K220</f>
        <v>-21.891999999999999</v>
      </c>
      <c r="L206" s="65">
        <f ca="1">+L220</f>
        <v>-21.891999999999999</v>
      </c>
    </row>
    <row r="207" spans="2:12" ht="13.25" customHeight="1" x14ac:dyDescent="0.15">
      <c r="B207" s="7" t="s">
        <v>126</v>
      </c>
      <c r="C207" s="7"/>
      <c r="D207" s="7"/>
      <c r="E207" s="65"/>
      <c r="F207" s="65"/>
      <c r="G207" s="69"/>
      <c r="H207" s="65">
        <f ca="1">+H234</f>
        <v>0</v>
      </c>
      <c r="I207" s="65">
        <f ca="1">+I234</f>
        <v>0</v>
      </c>
      <c r="J207" s="65">
        <f ca="1">+J234</f>
        <v>0</v>
      </c>
      <c r="K207" s="65">
        <f ca="1">+K234</f>
        <v>0</v>
      </c>
      <c r="L207" s="65">
        <f ca="1">+L234</f>
        <v>0</v>
      </c>
    </row>
    <row r="208" spans="2:12" ht="13.25" customHeight="1" x14ac:dyDescent="0.15">
      <c r="B208" s="7" t="s">
        <v>127</v>
      </c>
      <c r="C208" s="7"/>
      <c r="D208" s="7"/>
      <c r="E208" s="65"/>
      <c r="F208" s="65"/>
      <c r="G208" s="69"/>
      <c r="H208" s="65">
        <f ca="1">+H185</f>
        <v>-624.80729239770812</v>
      </c>
      <c r="I208" s="65">
        <f ca="1">+I185</f>
        <v>-1104.6633362162129</v>
      </c>
      <c r="J208" s="65">
        <f ca="1">+J185</f>
        <v>-1704.0040992698769</v>
      </c>
      <c r="K208" s="65">
        <f ca="1">+K185</f>
        <v>-2241.6110282367508</v>
      </c>
      <c r="L208" s="65">
        <f ca="1">+L185</f>
        <v>-2437.5969647752818</v>
      </c>
    </row>
    <row r="209" spans="1:12" ht="13.25" customHeight="1" x14ac:dyDescent="0.15">
      <c r="B209" s="12" t="s">
        <v>128</v>
      </c>
      <c r="C209" s="12"/>
      <c r="D209" s="12"/>
      <c r="E209" s="19"/>
      <c r="F209" s="19"/>
      <c r="G209" s="63"/>
      <c r="H209" s="13">
        <f ca="1">+SUM(H205:H208)</f>
        <v>-646.69929239770818</v>
      </c>
      <c r="I209" s="13">
        <f ca="1">+SUM(I205:I208)</f>
        <v>-1126.5553362162129</v>
      </c>
      <c r="J209" s="13">
        <f ca="1">+SUM(J205:J208)</f>
        <v>-1725.8960992698769</v>
      </c>
      <c r="K209" s="13">
        <f ca="1">+SUM(K205:K208)</f>
        <v>-2263.5030282367507</v>
      </c>
      <c r="L209" s="13">
        <f ca="1">+SUM(L205:L208)</f>
        <v>-2459.4889647752816</v>
      </c>
    </row>
    <row r="210" spans="1:12" ht="13.25" customHeight="1" x14ac:dyDescent="0.15">
      <c r="B210" s="7"/>
      <c r="C210" s="7"/>
      <c r="D210" s="7"/>
      <c r="E210" s="65"/>
      <c r="F210" s="65"/>
      <c r="G210" s="69"/>
      <c r="H210" s="65"/>
      <c r="I210" s="65"/>
      <c r="J210" s="65"/>
      <c r="K210" s="65"/>
      <c r="L210" s="65"/>
    </row>
    <row r="211" spans="1:12" s="108" customFormat="1" ht="13.25" customHeight="1" x14ac:dyDescent="0.15">
      <c r="A211" s="114"/>
      <c r="B211" s="1" t="s">
        <v>129</v>
      </c>
      <c r="C211" s="1"/>
      <c r="D211" s="1"/>
      <c r="E211" s="15"/>
      <c r="F211" s="15"/>
      <c r="G211" s="61"/>
      <c r="H211" s="10">
        <f>+G213</f>
        <v>21208</v>
      </c>
      <c r="I211" s="10">
        <f ca="1">H213</f>
        <v>39853.324340100415</v>
      </c>
      <c r="J211" s="10">
        <f ca="1">I213</f>
        <v>73044.672994190129</v>
      </c>
      <c r="K211" s="10">
        <f ca="1">J213</f>
        <v>124927.41533751067</v>
      </c>
      <c r="L211" s="10">
        <f ca="1">K213</f>
        <v>194159.82850185671</v>
      </c>
    </row>
    <row r="212" spans="1:12" ht="13.25" customHeight="1" x14ac:dyDescent="0.15">
      <c r="B212" s="7" t="s">
        <v>33</v>
      </c>
      <c r="C212" s="7"/>
      <c r="D212" s="7"/>
      <c r="E212" s="65"/>
      <c r="F212" s="65"/>
      <c r="G212" s="69"/>
      <c r="H212" s="65">
        <f ca="1">+SUM(H199,H203,H209)</f>
        <v>18645.324340100411</v>
      </c>
      <c r="I212" s="65">
        <f ca="1">+SUM(I199,I203,I209)</f>
        <v>33191.348654089721</v>
      </c>
      <c r="J212" s="65">
        <f ca="1">+SUM(J199,J203,J209)</f>
        <v>51882.742343320548</v>
      </c>
      <c r="K212" s="65">
        <f ca="1">+SUM(K199,K203,K209)</f>
        <v>69232.413164346057</v>
      </c>
      <c r="L212" s="65">
        <f ca="1">+SUM(L199,L203,L209)</f>
        <v>76935.813819851479</v>
      </c>
    </row>
    <row r="213" spans="1:12" s="108" customFormat="1" ht="13.25" customHeight="1" x14ac:dyDescent="0.15">
      <c r="A213" s="114"/>
      <c r="B213" s="12" t="s">
        <v>130</v>
      </c>
      <c r="C213" s="12"/>
      <c r="D213" s="12"/>
      <c r="E213" s="19"/>
      <c r="F213" s="19"/>
      <c r="G213" s="57">
        <f>+G98</f>
        <v>21208</v>
      </c>
      <c r="H213" s="13">
        <f ca="1">SUM(H211:H212)</f>
        <v>39853.324340100415</v>
      </c>
      <c r="I213" s="13">
        <f ca="1">SUM(I211:I212)</f>
        <v>73044.672994190129</v>
      </c>
      <c r="J213" s="13">
        <f ca="1">SUM(J211:J212)</f>
        <v>124927.41533751067</v>
      </c>
      <c r="K213" s="13">
        <f ca="1">SUM(K211:K212)</f>
        <v>194159.82850185671</v>
      </c>
      <c r="L213" s="13">
        <f ca="1">SUM(L211:L212)</f>
        <v>271095.6423217082</v>
      </c>
    </row>
    <row r="214" spans="1:12" ht="13.25" customHeight="1" x14ac:dyDescent="0.15">
      <c r="B214" s="7"/>
      <c r="C214" s="7"/>
      <c r="D214" s="7"/>
      <c r="E214" s="65"/>
      <c r="F214" s="65"/>
      <c r="G214" s="69"/>
      <c r="H214" s="65"/>
      <c r="I214" s="65"/>
      <c r="J214" s="65"/>
      <c r="K214" s="65"/>
      <c r="L214" s="65"/>
    </row>
    <row r="215" spans="1:12" ht="13.25" customHeight="1" x14ac:dyDescent="0.15">
      <c r="A215" s="114" t="s">
        <v>0</v>
      </c>
      <c r="B215" s="30" t="s">
        <v>36</v>
      </c>
      <c r="C215" s="30"/>
      <c r="D215" s="30"/>
      <c r="E215" s="31"/>
      <c r="F215" s="31"/>
      <c r="G215" s="31"/>
      <c r="H215" s="31"/>
      <c r="I215" s="31"/>
      <c r="J215" s="31"/>
      <c r="K215" s="31"/>
      <c r="L215" s="31"/>
    </row>
    <row r="216" spans="1:12" ht="13.25" customHeight="1" x14ac:dyDescent="0.15">
      <c r="B216" s="54" t="s">
        <v>173</v>
      </c>
      <c r="C216" s="54"/>
      <c r="D216" s="54"/>
      <c r="E216" s="52"/>
      <c r="F216" s="52"/>
      <c r="G216" s="113"/>
      <c r="H216" s="53">
        <f t="shared" ref="H216:L216" si="84">+H$7</f>
        <v>44957</v>
      </c>
      <c r="I216" s="53">
        <f t="shared" si="84"/>
        <v>45322</v>
      </c>
      <c r="J216" s="53">
        <f t="shared" si="84"/>
        <v>45688</v>
      </c>
      <c r="K216" s="53">
        <f t="shared" si="84"/>
        <v>46053</v>
      </c>
      <c r="L216" s="53">
        <f t="shared" si="84"/>
        <v>46418</v>
      </c>
    </row>
    <row r="217" spans="1:12" ht="13.25" customHeight="1" x14ac:dyDescent="0.15">
      <c r="B217" s="33"/>
      <c r="C217" s="33"/>
      <c r="D217" s="33"/>
      <c r="E217" s="34"/>
      <c r="F217" s="34"/>
      <c r="G217" s="58"/>
      <c r="H217" s="34"/>
      <c r="I217" s="34"/>
      <c r="J217" s="34"/>
      <c r="K217" s="34"/>
      <c r="L217" s="34"/>
    </row>
    <row r="218" spans="1:12" s="108" customFormat="1" ht="13.25" customHeight="1" x14ac:dyDescent="0.15">
      <c r="A218" s="114"/>
      <c r="B218" s="1" t="s">
        <v>131</v>
      </c>
      <c r="C218" s="1"/>
      <c r="D218" s="1"/>
      <c r="E218" s="23"/>
      <c r="F218" s="15"/>
      <c r="G218" s="61"/>
      <c r="H218" s="10">
        <f ca="1">H199+H203+H208</f>
        <v>18667.216340100411</v>
      </c>
      <c r="I218" s="10">
        <f t="shared" ref="I218:L218" ca="1" si="85">I199+I203+I208</f>
        <v>33213.240654089721</v>
      </c>
      <c r="J218" s="10">
        <f t="shared" ca="1" si="85"/>
        <v>51904.634343320547</v>
      </c>
      <c r="K218" s="10">
        <f t="shared" ca="1" si="85"/>
        <v>69254.305164346064</v>
      </c>
      <c r="L218" s="10">
        <f t="shared" ca="1" si="85"/>
        <v>76957.705819851486</v>
      </c>
    </row>
    <row r="219" spans="1:12" ht="13.25" customHeight="1" x14ac:dyDescent="0.15">
      <c r="B219" s="7" t="s">
        <v>132</v>
      </c>
      <c r="C219" s="7"/>
      <c r="D219" s="7"/>
      <c r="E219" s="20"/>
      <c r="F219" s="65"/>
      <c r="G219" s="69"/>
      <c r="H219" s="65">
        <f>G98</f>
        <v>21208</v>
      </c>
      <c r="I219" s="65">
        <f ca="1">H98</f>
        <v>39853.324340100415</v>
      </c>
      <c r="J219" s="65">
        <f ca="1">I98</f>
        <v>73044.672994190129</v>
      </c>
      <c r="K219" s="65">
        <f ca="1">J98</f>
        <v>124927.41533751067</v>
      </c>
      <c r="L219" s="65">
        <f ca="1">K98</f>
        <v>194159.82850185671</v>
      </c>
    </row>
    <row r="220" spans="1:12" ht="13.25" customHeight="1" x14ac:dyDescent="0.15">
      <c r="B220" s="7" t="s">
        <v>55</v>
      </c>
      <c r="C220" s="7"/>
      <c r="D220" s="7"/>
      <c r="E220" s="7"/>
      <c r="F220" s="20"/>
      <c r="G220" s="69"/>
      <c r="H220" s="65">
        <f>+H233</f>
        <v>-21.891999999999999</v>
      </c>
      <c r="I220" s="65">
        <f ca="1">+I233</f>
        <v>-21.891999999999999</v>
      </c>
      <c r="J220" s="65">
        <f ca="1">+J233</f>
        <v>-21.891999999999999</v>
      </c>
      <c r="K220" s="65">
        <f ca="1">+K233</f>
        <v>-21.891999999999999</v>
      </c>
      <c r="L220" s="65">
        <f ca="1">+L233</f>
        <v>-21.891999999999999</v>
      </c>
    </row>
    <row r="221" spans="1:12" ht="13.25" customHeight="1" x14ac:dyDescent="0.15">
      <c r="B221" s="7" t="s">
        <v>37</v>
      </c>
      <c r="C221" s="7"/>
      <c r="D221" s="7"/>
      <c r="E221" s="7"/>
      <c r="F221" s="24">
        <v>100</v>
      </c>
      <c r="G221" s="69"/>
      <c r="H221" s="65">
        <f>-$F$221</f>
        <v>-100</v>
      </c>
      <c r="I221" s="20">
        <f>-$F$221</f>
        <v>-100</v>
      </c>
      <c r="J221" s="20">
        <f>-$F$221</f>
        <v>-100</v>
      </c>
      <c r="K221" s="20">
        <f>-$F$221</f>
        <v>-100</v>
      </c>
      <c r="L221" s="20">
        <f>-$F$221</f>
        <v>-100</v>
      </c>
    </row>
    <row r="222" spans="1:12" s="108" customFormat="1" ht="13.25" customHeight="1" x14ac:dyDescent="0.15">
      <c r="A222" s="114"/>
      <c r="B222" s="12" t="s">
        <v>133</v>
      </c>
      <c r="C222" s="12"/>
      <c r="D222" s="12"/>
      <c r="E222" s="12"/>
      <c r="F222" s="25"/>
      <c r="G222" s="63"/>
      <c r="H222" s="13">
        <f ca="1">SUM(H218:H221)</f>
        <v>39753.324340100407</v>
      </c>
      <c r="I222" s="13">
        <f t="shared" ref="I222:L222" ca="1" si="86">SUM(I218:I221)</f>
        <v>72944.672994190129</v>
      </c>
      <c r="J222" s="13">
        <f t="shared" ca="1" si="86"/>
        <v>124827.41533751067</v>
      </c>
      <c r="K222" s="13">
        <f t="shared" ca="1" si="86"/>
        <v>194059.82850185674</v>
      </c>
      <c r="L222" s="13">
        <f t="shared" ca="1" si="86"/>
        <v>270995.6423217082</v>
      </c>
    </row>
    <row r="223" spans="1:12" ht="13.25" customHeight="1" x14ac:dyDescent="0.15">
      <c r="B223" s="7"/>
      <c r="C223" s="7"/>
      <c r="D223" s="7"/>
      <c r="E223" s="7"/>
      <c r="F223" s="2"/>
      <c r="G223" s="69"/>
      <c r="H223" s="65"/>
      <c r="I223" s="65"/>
      <c r="J223" s="65"/>
      <c r="K223" s="65"/>
      <c r="L223" s="65"/>
    </row>
    <row r="224" spans="1:12" s="108" customFormat="1" ht="13.25" customHeight="1" x14ac:dyDescent="0.15">
      <c r="A224" s="114"/>
      <c r="B224" s="1" t="s">
        <v>134</v>
      </c>
      <c r="C224" s="1"/>
      <c r="D224" s="1"/>
      <c r="E224" s="1"/>
      <c r="F224" s="26"/>
      <c r="G224" s="61"/>
      <c r="H224" s="10">
        <f>+G226</f>
        <v>0</v>
      </c>
      <c r="I224" s="10">
        <f ca="1">H226</f>
        <v>0</v>
      </c>
      <c r="J224" s="10">
        <f ca="1">I226</f>
        <v>0</v>
      </c>
      <c r="K224" s="10">
        <f ca="1">J226</f>
        <v>0</v>
      </c>
      <c r="L224" s="10">
        <f ca="1">K226</f>
        <v>0</v>
      </c>
    </row>
    <row r="225" spans="1:12" ht="13.25" customHeight="1" x14ac:dyDescent="0.15">
      <c r="B225" s="7" t="s">
        <v>135</v>
      </c>
      <c r="C225" s="7"/>
      <c r="D225" s="7"/>
      <c r="E225" s="7"/>
      <c r="F225" s="64"/>
      <c r="G225" s="69"/>
      <c r="H225" s="65">
        <f ca="1">MIN(H227,-MIN(H224,H222))</f>
        <v>0</v>
      </c>
      <c r="I225" s="65">
        <f t="shared" ref="I225:L225" ca="1" si="87">MIN(I227,-MIN(I224,I222))</f>
        <v>0</v>
      </c>
      <c r="J225" s="65">
        <f t="shared" ca="1" si="87"/>
        <v>0</v>
      </c>
      <c r="K225" s="65">
        <f t="shared" ca="1" si="87"/>
        <v>0</v>
      </c>
      <c r="L225" s="65">
        <f t="shared" ca="1" si="87"/>
        <v>0</v>
      </c>
    </row>
    <row r="226" spans="1:12" s="108" customFormat="1" ht="13.25" customHeight="1" x14ac:dyDescent="0.15">
      <c r="A226" s="114"/>
      <c r="B226" s="12" t="s">
        <v>136</v>
      </c>
      <c r="C226" s="12"/>
      <c r="D226" s="12"/>
      <c r="E226" s="12"/>
      <c r="F226" s="25"/>
      <c r="G226" s="57">
        <f>+G113</f>
        <v>0</v>
      </c>
      <c r="H226" s="13">
        <f ca="1">SUM(H224:H225)</f>
        <v>0</v>
      </c>
      <c r="I226" s="13">
        <f t="shared" ref="I226:L226" ca="1" si="88">SUM(I224:I225)</f>
        <v>0</v>
      </c>
      <c r="J226" s="13">
        <f t="shared" ca="1" si="88"/>
        <v>0</v>
      </c>
      <c r="K226" s="13">
        <f t="shared" ca="1" si="88"/>
        <v>0</v>
      </c>
      <c r="L226" s="13">
        <f t="shared" ca="1" si="88"/>
        <v>0</v>
      </c>
    </row>
    <row r="227" spans="1:12" ht="13.25" customHeight="1" x14ac:dyDescent="0.15">
      <c r="B227" s="7" t="s">
        <v>137</v>
      </c>
      <c r="C227" s="7"/>
      <c r="D227" s="7"/>
      <c r="E227" s="7"/>
      <c r="F227" s="27">
        <v>575</v>
      </c>
      <c r="G227" s="69"/>
      <c r="H227" s="81">
        <f>+$F$227-H224</f>
        <v>575</v>
      </c>
      <c r="I227" s="81">
        <f ca="1">+$F$227-I224</f>
        <v>575</v>
      </c>
      <c r="J227" s="81">
        <f ca="1">+$F$227-J224</f>
        <v>575</v>
      </c>
      <c r="K227" s="81">
        <f ca="1">+$F$227-K224</f>
        <v>575</v>
      </c>
      <c r="L227" s="81">
        <f ca="1">+$F$227-L224</f>
        <v>575</v>
      </c>
    </row>
    <row r="228" spans="1:12" ht="13.25" customHeight="1" x14ac:dyDescent="0.15">
      <c r="B228" s="7" t="s">
        <v>138</v>
      </c>
      <c r="C228" s="7"/>
      <c r="D228" s="7"/>
      <c r="E228" s="7"/>
      <c r="F228" s="2"/>
      <c r="G228" s="69"/>
      <c r="H228" s="81">
        <f ca="1">+H227-H225</f>
        <v>575</v>
      </c>
      <c r="I228" s="81">
        <f t="shared" ref="I228:K228" ca="1" si="89">+I227-I225</f>
        <v>575</v>
      </c>
      <c r="J228" s="81">
        <f t="shared" ca="1" si="89"/>
        <v>575</v>
      </c>
      <c r="K228" s="81">
        <f t="shared" ca="1" si="89"/>
        <v>575</v>
      </c>
      <c r="L228" s="81">
        <f ca="1">+L227-L225</f>
        <v>575</v>
      </c>
    </row>
    <row r="229" spans="1:12" ht="13.25" customHeight="1" x14ac:dyDescent="0.15">
      <c r="B229" s="7"/>
      <c r="C229" s="7"/>
      <c r="D229" s="7"/>
      <c r="E229" s="7"/>
      <c r="F229" s="2"/>
      <c r="G229" s="56"/>
      <c r="H229" s="65"/>
      <c r="I229" s="65"/>
      <c r="J229" s="65"/>
      <c r="K229" s="65"/>
      <c r="L229" s="65"/>
    </row>
    <row r="230" spans="1:12" ht="13.25" customHeight="1" x14ac:dyDescent="0.15">
      <c r="B230" s="12" t="s">
        <v>139</v>
      </c>
      <c r="C230" s="12"/>
      <c r="D230" s="12"/>
      <c r="E230" s="12"/>
      <c r="F230" s="25"/>
      <c r="G230" s="63"/>
      <c r="H230" s="13">
        <f ca="1">+SUM(H222,H225)</f>
        <v>39753.324340100407</v>
      </c>
      <c r="I230" s="13">
        <f ca="1">+SUM(I222,I225)</f>
        <v>72944.672994190129</v>
      </c>
      <c r="J230" s="13">
        <f ca="1">+SUM(J222,J225)</f>
        <v>124827.41533751067</v>
      </c>
      <c r="K230" s="13">
        <f ca="1">+SUM(K222,K225)</f>
        <v>194059.82850185674</v>
      </c>
      <c r="L230" s="13">
        <f ca="1">+SUM(L222,L225)</f>
        <v>270995.6423217082</v>
      </c>
    </row>
    <row r="231" spans="1:12" ht="13.25" customHeight="1" x14ac:dyDescent="0.15">
      <c r="B231" s="7"/>
      <c r="C231" s="7"/>
      <c r="D231" s="7"/>
      <c r="E231" s="7"/>
      <c r="F231" s="2"/>
      <c r="G231" s="69"/>
      <c r="H231" s="65"/>
      <c r="I231" s="65"/>
      <c r="J231" s="65"/>
      <c r="K231" s="65"/>
      <c r="L231" s="65"/>
    </row>
    <row r="232" spans="1:12" s="108" customFormat="1" ht="13.25" customHeight="1" x14ac:dyDescent="0.15">
      <c r="A232" s="114"/>
      <c r="B232" s="1" t="s">
        <v>140</v>
      </c>
      <c r="C232" s="1"/>
      <c r="D232" s="1"/>
      <c r="E232" s="1"/>
      <c r="F232" s="26"/>
      <c r="G232" s="61"/>
      <c r="H232" s="10">
        <f>+G235</f>
        <v>10946</v>
      </c>
      <c r="I232" s="10">
        <f ca="1">H235</f>
        <v>10924.108</v>
      </c>
      <c r="J232" s="10">
        <f ca="1">I235</f>
        <v>10902.216</v>
      </c>
      <c r="K232" s="10">
        <f ca="1">J235</f>
        <v>10880.324000000001</v>
      </c>
      <c r="L232" s="10">
        <f ca="1">K235</f>
        <v>10858.432000000001</v>
      </c>
    </row>
    <row r="233" spans="1:12" ht="13.25" customHeight="1" x14ac:dyDescent="0.15">
      <c r="B233" s="7" t="s">
        <v>55</v>
      </c>
      <c r="C233" s="7"/>
      <c r="D233" s="7"/>
      <c r="E233" s="7"/>
      <c r="F233" s="14">
        <v>2E-3</v>
      </c>
      <c r="G233" s="69"/>
      <c r="H233" s="65">
        <f>-MIN($H$232*$F$233,H232)</f>
        <v>-21.891999999999999</v>
      </c>
      <c r="I233" s="65">
        <f ca="1">-MIN($H$232*$F$233,I232)</f>
        <v>-21.891999999999999</v>
      </c>
      <c r="J233" s="65">
        <f ca="1">-MIN($H$232*$F$233,J232)</f>
        <v>-21.891999999999999</v>
      </c>
      <c r="K233" s="65">
        <f ca="1">-MIN($H$232*$F$233,K232)</f>
        <v>-21.891999999999999</v>
      </c>
      <c r="L233" s="65">
        <f ca="1">-MIN($H$232*$F$233,L232)</f>
        <v>-21.891999999999999</v>
      </c>
    </row>
    <row r="234" spans="1:12" ht="13.25" customHeight="1" x14ac:dyDescent="0.15">
      <c r="B234" s="7" t="s">
        <v>56</v>
      </c>
      <c r="C234" s="7"/>
      <c r="D234" s="7"/>
      <c r="E234" s="7"/>
      <c r="F234" s="28">
        <v>0</v>
      </c>
      <c r="G234" s="69"/>
      <c r="H234" s="65">
        <f ca="1">-MIN(SUM(H232:H233),H230)*$F$234</f>
        <v>0</v>
      </c>
      <c r="I234" s="65">
        <f ca="1">-MIN(SUM(I232:I233),I230)*$F$234</f>
        <v>0</v>
      </c>
      <c r="J234" s="65">
        <f ca="1">-MIN(SUM(J232:J233),J230)*$F$234</f>
        <v>0</v>
      </c>
      <c r="K234" s="65">
        <f ca="1">-MIN(SUM(K232:K233),K230)*$F$234</f>
        <v>0</v>
      </c>
      <c r="L234" s="65">
        <f ca="1">-MIN(SUM(L232:L233),L230)*$F$234</f>
        <v>0</v>
      </c>
    </row>
    <row r="235" spans="1:12" s="108" customFormat="1" ht="13.25" customHeight="1" x14ac:dyDescent="0.15">
      <c r="A235" s="114"/>
      <c r="B235" s="12" t="s">
        <v>141</v>
      </c>
      <c r="C235" s="12"/>
      <c r="D235" s="12"/>
      <c r="E235" s="12"/>
      <c r="F235" s="19"/>
      <c r="G235" s="57">
        <f>+G114</f>
        <v>10946</v>
      </c>
      <c r="H235" s="13">
        <f ca="1">+SUM(H232:H234)</f>
        <v>10924.108</v>
      </c>
      <c r="I235" s="13">
        <f ca="1">+SUM(I232:I234)</f>
        <v>10902.216</v>
      </c>
      <c r="J235" s="13">
        <f ca="1">+SUM(J232:J234)</f>
        <v>10880.324000000001</v>
      </c>
      <c r="K235" s="13">
        <f ca="1">+SUM(K232:K234)</f>
        <v>10858.432000000001</v>
      </c>
      <c r="L235" s="13">
        <f ca="1">+SUM(L232:L234)</f>
        <v>10836.54</v>
      </c>
    </row>
    <row r="236" spans="1:12" ht="13.25" customHeight="1" x14ac:dyDescent="0.15">
      <c r="B236" s="7"/>
      <c r="C236" s="7"/>
      <c r="D236" s="2"/>
      <c r="E236" s="20"/>
      <c r="F236" s="65"/>
      <c r="G236" s="69"/>
      <c r="H236" s="65"/>
      <c r="I236" s="65"/>
      <c r="J236" s="65"/>
      <c r="K236" s="65"/>
      <c r="L236" s="65"/>
    </row>
    <row r="237" spans="1:12" ht="13.25" customHeight="1" x14ac:dyDescent="0.15">
      <c r="A237" s="114" t="s">
        <v>0</v>
      </c>
      <c r="B237" s="30" t="s">
        <v>142</v>
      </c>
      <c r="C237" s="30"/>
      <c r="D237" s="30"/>
      <c r="E237" s="31"/>
      <c r="F237" s="31"/>
      <c r="G237" s="31"/>
      <c r="H237" s="31"/>
      <c r="I237" s="31"/>
      <c r="J237" s="31"/>
      <c r="K237" s="31"/>
      <c r="L237" s="31"/>
    </row>
    <row r="238" spans="1:12" ht="13.25" customHeight="1" x14ac:dyDescent="0.15">
      <c r="B238" s="54" t="s">
        <v>173</v>
      </c>
      <c r="C238" s="54"/>
      <c r="D238" s="54"/>
      <c r="E238" s="52"/>
      <c r="F238" s="52"/>
      <c r="G238" s="113"/>
      <c r="H238" s="53">
        <f t="shared" ref="H238:L238" si="90">+H$7</f>
        <v>44957</v>
      </c>
      <c r="I238" s="53">
        <f t="shared" si="90"/>
        <v>45322</v>
      </c>
      <c r="J238" s="53">
        <f t="shared" si="90"/>
        <v>45688</v>
      </c>
      <c r="K238" s="53">
        <f t="shared" si="90"/>
        <v>46053</v>
      </c>
      <c r="L238" s="53">
        <f t="shared" si="90"/>
        <v>46418</v>
      </c>
    </row>
    <row r="239" spans="1:12" ht="13.25" customHeight="1" x14ac:dyDescent="0.15">
      <c r="B239" s="33"/>
      <c r="C239" s="33"/>
      <c r="D239" s="33"/>
      <c r="E239" s="34"/>
      <c r="F239" s="34"/>
      <c r="G239" s="58"/>
      <c r="H239" s="34"/>
      <c r="I239" s="34"/>
      <c r="J239" s="34"/>
      <c r="K239" s="34"/>
      <c r="L239" s="34"/>
    </row>
    <row r="240" spans="1:12" ht="13.25" customHeight="1" x14ac:dyDescent="0.15">
      <c r="B240" s="7" t="s">
        <v>143</v>
      </c>
      <c r="C240" s="7"/>
      <c r="D240" s="2"/>
      <c r="E240" s="20"/>
      <c r="F240" s="65"/>
      <c r="G240" s="56"/>
      <c r="H240" s="81">
        <f ca="1">-IF(Circ=0,0,AVERAGE(G226,H226)*H241)</f>
        <v>0</v>
      </c>
      <c r="I240" s="81">
        <f ca="1">-IF(Circ=0,0,AVERAGE(H226,I226)*I241)</f>
        <v>0</v>
      </c>
      <c r="J240" s="81">
        <f ca="1">-IF(Circ=0,0,AVERAGE(I226,J226)*J241)</f>
        <v>0</v>
      </c>
      <c r="K240" s="81">
        <f ca="1">-IF(Circ=0,0,AVERAGE(J226,K226)*K241)</f>
        <v>0</v>
      </c>
      <c r="L240" s="81">
        <f ca="1">-IF(Circ=0,0,AVERAGE(K226,L226)*L241)</f>
        <v>0</v>
      </c>
    </row>
    <row r="241" spans="1:12" ht="13.25" customHeight="1" x14ac:dyDescent="0.15">
      <c r="B241" s="64" t="s">
        <v>144</v>
      </c>
      <c r="E241" s="64"/>
      <c r="F241" s="14">
        <v>1.4999999999999999E-2</v>
      </c>
      <c r="G241" s="69"/>
      <c r="H241" s="83">
        <f>+$F241</f>
        <v>1.4999999999999999E-2</v>
      </c>
      <c r="I241" s="83">
        <f>+$F241</f>
        <v>1.4999999999999999E-2</v>
      </c>
      <c r="J241" s="83">
        <f>+$F241</f>
        <v>1.4999999999999999E-2</v>
      </c>
      <c r="K241" s="83">
        <f>+$F241</f>
        <v>1.4999999999999999E-2</v>
      </c>
      <c r="L241" s="83">
        <f>+$F241</f>
        <v>1.4999999999999999E-2</v>
      </c>
    </row>
    <row r="242" spans="1:12" ht="13.25" customHeight="1" x14ac:dyDescent="0.15">
      <c r="B242" s="7" t="s">
        <v>145</v>
      </c>
      <c r="C242" s="7"/>
      <c r="D242" s="7"/>
      <c r="E242" s="7"/>
      <c r="F242" s="2"/>
      <c r="G242" s="85"/>
      <c r="H242" s="81">
        <f ca="1">-IF(Circ=0,0,AVERAGE(G235,H235)*H243)</f>
        <v>-382.72689000000003</v>
      </c>
      <c r="I242" s="81">
        <f ca="1">-IF(Circ=0,0,AVERAGE(H235,I235)*I243)</f>
        <v>-381.96067000000005</v>
      </c>
      <c r="J242" s="81">
        <f ca="1">-IF(Circ=0,0,AVERAGE(I235,J235)*J243)</f>
        <v>-381.19445000000007</v>
      </c>
      <c r="K242" s="81">
        <f ca="1">-IF(Circ=0,0,AVERAGE(J235,K235)*K243)</f>
        <v>-380.42823000000004</v>
      </c>
      <c r="L242" s="81">
        <f ca="1">-IF(Circ=0,0,AVERAGE(K235,L235)*L243)</f>
        <v>-379.66201000000007</v>
      </c>
    </row>
    <row r="243" spans="1:12" ht="13.25" customHeight="1" x14ac:dyDescent="0.15">
      <c r="B243" s="64" t="s">
        <v>146</v>
      </c>
      <c r="E243" s="64"/>
      <c r="F243" s="14">
        <v>3.5000000000000003E-2</v>
      </c>
      <c r="G243" s="85"/>
      <c r="H243" s="83">
        <f>+$F243</f>
        <v>3.5000000000000003E-2</v>
      </c>
      <c r="I243" s="83">
        <f>+$F243</f>
        <v>3.5000000000000003E-2</v>
      </c>
      <c r="J243" s="83">
        <f>+$F243</f>
        <v>3.5000000000000003E-2</v>
      </c>
      <c r="K243" s="83">
        <f>+$F243</f>
        <v>3.5000000000000003E-2</v>
      </c>
      <c r="L243" s="83">
        <f>+$F243</f>
        <v>3.5000000000000003E-2</v>
      </c>
    </row>
    <row r="244" spans="1:12" s="108" customFormat="1" ht="13.25" customHeight="1" x14ac:dyDescent="0.15">
      <c r="A244" s="114"/>
      <c r="B244" s="22" t="s">
        <v>46</v>
      </c>
      <c r="C244" s="22"/>
      <c r="D244" s="22"/>
      <c r="E244" s="22"/>
      <c r="F244" s="22"/>
      <c r="G244" s="102"/>
      <c r="H244" s="111">
        <f ca="1">+H240+H242</f>
        <v>-382.72689000000003</v>
      </c>
      <c r="I244" s="111">
        <f t="shared" ref="I244:L244" ca="1" si="91">+I240+I242</f>
        <v>-381.96067000000005</v>
      </c>
      <c r="J244" s="111">
        <f t="shared" ca="1" si="91"/>
        <v>-381.19445000000007</v>
      </c>
      <c r="K244" s="111">
        <f t="shared" ca="1" si="91"/>
        <v>-380.42823000000004</v>
      </c>
      <c r="L244" s="111">
        <f t="shared" ca="1" si="91"/>
        <v>-379.66201000000007</v>
      </c>
    </row>
    <row r="245" spans="1:12" ht="13.25" customHeight="1" x14ac:dyDescent="0.15">
      <c r="E245" s="64"/>
      <c r="F245" s="29"/>
      <c r="G245" s="85"/>
      <c r="H245" s="65"/>
      <c r="I245" s="65"/>
      <c r="J245" s="65"/>
      <c r="K245" s="65"/>
      <c r="L245" s="65"/>
    </row>
    <row r="246" spans="1:12" ht="13.25" customHeight="1" x14ac:dyDescent="0.15">
      <c r="B246" s="7" t="s">
        <v>57</v>
      </c>
      <c r="C246" s="7"/>
      <c r="D246" s="7"/>
      <c r="E246" s="7"/>
      <c r="F246" s="2"/>
      <c r="G246" s="85"/>
      <c r="H246" s="81">
        <f ca="1">IF(Circ=0,0,AVERAGE(G213,H213)*H247)</f>
        <v>30.530662170050206</v>
      </c>
      <c r="I246" s="81">
        <f ca="1">IF(Circ=0,0,AVERAGE(H213,I213)*I247)</f>
        <v>56.448998667145275</v>
      </c>
      <c r="J246" s="81">
        <f ca="1">IF(Circ=0,0,AVERAGE(I213,J213)*J247)</f>
        <v>98.986044165850402</v>
      </c>
      <c r="K246" s="81">
        <f ca="1">IF(Circ=0,0,AVERAGE(J213,K213)*K247)</f>
        <v>159.54362191968372</v>
      </c>
      <c r="L246" s="81">
        <f ca="1">IF(Circ=0,0,AVERAGE(K213,L213)*L247)</f>
        <v>232.62773541178245</v>
      </c>
    </row>
    <row r="247" spans="1:12" ht="13.25" customHeight="1" x14ac:dyDescent="0.15">
      <c r="B247" s="7" t="s">
        <v>147</v>
      </c>
      <c r="C247" s="7"/>
      <c r="D247" s="7"/>
      <c r="E247" s="7"/>
      <c r="F247" s="28">
        <v>1E-3</v>
      </c>
      <c r="G247" s="85"/>
      <c r="H247" s="83">
        <f>+$F247</f>
        <v>1E-3</v>
      </c>
      <c r="I247" s="83">
        <f>+$F247</f>
        <v>1E-3</v>
      </c>
      <c r="J247" s="83">
        <f>+$F247</f>
        <v>1E-3</v>
      </c>
      <c r="K247" s="83">
        <f>+$F247</f>
        <v>1E-3</v>
      </c>
      <c r="L247" s="83">
        <f>+$F247</f>
        <v>1E-3</v>
      </c>
    </row>
    <row r="248" spans="1:12" s="108" customFormat="1" ht="13.25" customHeight="1" x14ac:dyDescent="0.15">
      <c r="A248" s="114"/>
      <c r="B248" s="22" t="s">
        <v>57</v>
      </c>
      <c r="C248" s="22"/>
      <c r="D248" s="22"/>
      <c r="E248" s="22"/>
      <c r="F248" s="22"/>
      <c r="G248" s="102"/>
      <c r="H248" s="111">
        <f ca="1">+H246</f>
        <v>30.530662170050206</v>
      </c>
      <c r="I248" s="111">
        <f t="shared" ref="I248:L248" ca="1" si="92">+I246</f>
        <v>56.448998667145275</v>
      </c>
      <c r="J248" s="111">
        <f t="shared" ca="1" si="92"/>
        <v>98.986044165850402</v>
      </c>
      <c r="K248" s="111">
        <f t="shared" ca="1" si="92"/>
        <v>159.54362191968372</v>
      </c>
      <c r="L248" s="111">
        <f t="shared" ca="1" si="92"/>
        <v>232.62773541178245</v>
      </c>
    </row>
    <row r="249" spans="1:12" ht="13.25" customHeight="1" x14ac:dyDescent="0.15">
      <c r="F249" s="20"/>
      <c r="G249" s="85"/>
    </row>
    <row r="250" spans="1:12" ht="13.25" customHeight="1" x14ac:dyDescent="0.15">
      <c r="A250" s="114" t="s">
        <v>0</v>
      </c>
      <c r="B250" s="30" t="s">
        <v>148</v>
      </c>
      <c r="C250" s="30"/>
      <c r="D250" s="30"/>
      <c r="E250" s="31"/>
      <c r="F250" s="31"/>
      <c r="G250" s="31"/>
      <c r="H250" s="31"/>
      <c r="I250" s="31"/>
      <c r="J250" s="31"/>
      <c r="K250" s="31"/>
      <c r="L250" s="31"/>
    </row>
    <row r="251" spans="1:12" ht="13.25" customHeight="1" x14ac:dyDescent="0.15">
      <c r="B251" s="54" t="s">
        <v>173</v>
      </c>
      <c r="C251" s="54"/>
      <c r="D251" s="54"/>
      <c r="E251" s="52">
        <f>+E$7</f>
        <v>43856</v>
      </c>
      <c r="F251" s="52">
        <f t="shared" ref="F251:L251" si="93">+F$7</f>
        <v>44227</v>
      </c>
      <c r="G251" s="113">
        <f t="shared" si="93"/>
        <v>44592</v>
      </c>
      <c r="H251" s="53">
        <f t="shared" si="93"/>
        <v>44957</v>
      </c>
      <c r="I251" s="53">
        <f t="shared" si="93"/>
        <v>45322</v>
      </c>
      <c r="J251" s="53">
        <f t="shared" si="93"/>
        <v>45688</v>
      </c>
      <c r="K251" s="53">
        <f t="shared" si="93"/>
        <v>46053</v>
      </c>
      <c r="L251" s="53">
        <f t="shared" si="93"/>
        <v>46418</v>
      </c>
    </row>
    <row r="252" spans="1:12" ht="13.25" customHeight="1" x14ac:dyDescent="0.15">
      <c r="B252" s="33"/>
      <c r="C252" s="33"/>
      <c r="D252" s="33"/>
      <c r="E252" s="34"/>
      <c r="F252" s="34"/>
      <c r="G252" s="58"/>
      <c r="H252" s="34"/>
      <c r="I252" s="34"/>
      <c r="J252" s="34"/>
      <c r="K252" s="34"/>
      <c r="L252" s="34"/>
    </row>
    <row r="253" spans="1:12" ht="13.25" customHeight="1" x14ac:dyDescent="0.15">
      <c r="B253" s="7" t="s">
        <v>149</v>
      </c>
      <c r="C253" s="7"/>
      <c r="D253" s="7"/>
      <c r="E253" s="11">
        <v>2439</v>
      </c>
      <c r="F253" s="11">
        <v>2467</v>
      </c>
      <c r="G253" s="56">
        <v>2496</v>
      </c>
      <c r="H253" s="65">
        <f>+G253</f>
        <v>2496</v>
      </c>
      <c r="I253" s="65">
        <f>+H253</f>
        <v>2496</v>
      </c>
      <c r="J253" s="65">
        <f t="shared" ref="J253:L253" si="94">+I253</f>
        <v>2496</v>
      </c>
      <c r="K253" s="65">
        <f t="shared" si="94"/>
        <v>2496</v>
      </c>
      <c r="L253" s="65">
        <f t="shared" si="94"/>
        <v>2496</v>
      </c>
    </row>
    <row r="254" spans="1:12" s="112" customFormat="1" ht="13.25" customHeight="1" x14ac:dyDescent="0.15">
      <c r="A254" s="114"/>
      <c r="B254" s="7" t="s">
        <v>151</v>
      </c>
      <c r="C254" s="7"/>
      <c r="D254" s="7"/>
      <c r="E254" s="20">
        <f t="shared" ref="E254:L254" si="95">+E255-E253</f>
        <v>33</v>
      </c>
      <c r="F254" s="20">
        <f t="shared" si="95"/>
        <v>43</v>
      </c>
      <c r="G254" s="85">
        <f t="shared" si="95"/>
        <v>39</v>
      </c>
      <c r="H254" s="20">
        <f t="shared" si="95"/>
        <v>39</v>
      </c>
      <c r="I254" s="20">
        <f t="shared" si="95"/>
        <v>39</v>
      </c>
      <c r="J254" s="20">
        <f t="shared" si="95"/>
        <v>39</v>
      </c>
      <c r="K254" s="20">
        <f t="shared" si="95"/>
        <v>39</v>
      </c>
      <c r="L254" s="20">
        <f t="shared" si="95"/>
        <v>39</v>
      </c>
    </row>
    <row r="255" spans="1:12" ht="13.25" customHeight="1" x14ac:dyDescent="0.15">
      <c r="B255" s="7" t="s">
        <v>150</v>
      </c>
      <c r="C255" s="7"/>
      <c r="D255" s="7"/>
      <c r="E255" s="11">
        <v>2472</v>
      </c>
      <c r="F255" s="11">
        <v>2510</v>
      </c>
      <c r="G255" s="56">
        <v>2535</v>
      </c>
      <c r="H255" s="65">
        <f>+H253+G255-G253</f>
        <v>2535</v>
      </c>
      <c r="I255" s="65">
        <f>+I253+H255-H253</f>
        <v>2535</v>
      </c>
      <c r="J255" s="65">
        <f>+J253+I255-I253</f>
        <v>2535</v>
      </c>
      <c r="K255" s="65">
        <f>+K253+J255-J253</f>
        <v>2535</v>
      </c>
      <c r="L255" s="65">
        <f>+L253+K255-K253</f>
        <v>2535</v>
      </c>
    </row>
    <row r="256" spans="1:12" ht="13.25" customHeight="1" x14ac:dyDescent="0.15">
      <c r="G256" s="109"/>
    </row>
    <row r="257" spans="2:12" ht="13.25" customHeight="1" x14ac:dyDescent="0.15">
      <c r="B257" s="7" t="s">
        <v>152</v>
      </c>
      <c r="C257" s="7"/>
      <c r="D257" s="7"/>
      <c r="E257" s="103">
        <f t="shared" ref="E257:L257" si="96">+E$20/E253</f>
        <v>1.1463714637146372</v>
      </c>
      <c r="F257" s="103">
        <f t="shared" si="96"/>
        <v>1.7559789217673287</v>
      </c>
      <c r="G257" s="104">
        <f t="shared" si="96"/>
        <v>3.9070512820512819</v>
      </c>
      <c r="H257" s="103">
        <f t="shared" ca="1" si="96"/>
        <v>7.1520981272631428</v>
      </c>
      <c r="I257" s="103">
        <f t="shared" ca="1" si="96"/>
        <v>12.644955771705733</v>
      </c>
      <c r="J257" s="103">
        <f t="shared" ca="1" si="96"/>
        <v>19.505541429371299</v>
      </c>
      <c r="K257" s="103">
        <f t="shared" ca="1" si="96"/>
        <v>25.659466898314456</v>
      </c>
      <c r="L257" s="103">
        <f t="shared" ca="1" si="96"/>
        <v>27.902895659057712</v>
      </c>
    </row>
    <row r="258" spans="2:12" ht="13.25" customHeight="1" x14ac:dyDescent="0.15">
      <c r="B258" s="7" t="s">
        <v>153</v>
      </c>
      <c r="C258" s="7"/>
      <c r="D258" s="7"/>
      <c r="E258" s="103">
        <f t="shared" ref="E258:L258" si="97">+E$20/E255</f>
        <v>1.1310679611650485</v>
      </c>
      <c r="F258" s="103">
        <f t="shared" si="97"/>
        <v>1.7258964143426294</v>
      </c>
      <c r="G258" s="104">
        <f t="shared" si="97"/>
        <v>3.8469428007889546</v>
      </c>
      <c r="H258" s="103">
        <f t="shared" ca="1" si="97"/>
        <v>7.0420658483821708</v>
      </c>
      <c r="I258" s="103">
        <f t="shared" ca="1" si="97"/>
        <v>12.450417990602569</v>
      </c>
      <c r="J258" s="103">
        <f t="shared" ca="1" si="97"/>
        <v>19.20545617661174</v>
      </c>
      <c r="K258" s="103">
        <f t="shared" ca="1" si="97"/>
        <v>25.264705869109616</v>
      </c>
      <c r="L258" s="103">
        <f t="shared" ca="1" si="97"/>
        <v>27.473620341226056</v>
      </c>
    </row>
  </sheetData>
  <dataValidations count="2">
    <dataValidation type="list" allowBlank="1" showInputMessage="1" sqref="L3" xr:uid="{0519CC80-1022-48DA-8D58-8491FD8D9905}">
      <formula1>"1,0"</formula1>
    </dataValidation>
    <dataValidation type="whole" allowBlank="1" showInputMessage="1" showErrorMessage="1" sqref="H3" xr:uid="{10E7C56C-7FF7-4627-BC42-7451E4C1EAFD}">
      <formula1>1</formula1>
      <formula2>3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3A8CE-3DF3-42AA-93D4-8679322F31A3}">
  <sheetPr>
    <tabColor theme="9" tint="0.79998168889431442"/>
  </sheetPr>
  <dimension ref="A2:N54"/>
  <sheetViews>
    <sheetView showGridLines="0" tabSelected="1" zoomScaleNormal="100" workbookViewId="0">
      <selection activeCell="J23" sqref="J23"/>
    </sheetView>
  </sheetViews>
  <sheetFormatPr baseColWidth="10" defaultColWidth="12.33203125" defaultRowHeight="13.25" customHeight="1" x14ac:dyDescent="0.15"/>
  <cols>
    <col min="1" max="1" width="1.83203125" style="117" bestFit="1" customWidth="1"/>
    <col min="2" max="2" width="10.83203125" style="141" customWidth="1"/>
    <col min="3" max="13" width="10.83203125" style="119" customWidth="1"/>
    <col min="14" max="16384" width="12.33203125" style="119"/>
  </cols>
  <sheetData>
    <row r="2" spans="1:14" s="36" customFormat="1" ht="13.25" customHeight="1" x14ac:dyDescent="0.15">
      <c r="A2" s="125" t="s">
        <v>0</v>
      </c>
      <c r="B2" s="126" t="s">
        <v>59</v>
      </c>
      <c r="C2" s="126"/>
      <c r="D2" s="126"/>
      <c r="F2" s="119"/>
      <c r="G2" s="119"/>
      <c r="H2" s="119"/>
      <c r="I2" s="119"/>
      <c r="J2" s="119"/>
    </row>
    <row r="3" spans="1:14" ht="13.25" customHeight="1" x14ac:dyDescent="0.15">
      <c r="B3" s="153"/>
      <c r="C3" s="127"/>
      <c r="D3" s="127"/>
      <c r="E3" s="127"/>
      <c r="F3" s="127"/>
      <c r="G3" s="127"/>
      <c r="H3" s="127"/>
      <c r="I3" s="127"/>
      <c r="J3" s="127"/>
    </row>
    <row r="4" spans="1:14" s="36" customFormat="1" ht="13.25" customHeight="1" x14ac:dyDescent="0.15">
      <c r="A4" s="117" t="s">
        <v>0</v>
      </c>
      <c r="B4" s="35" t="s">
        <v>38</v>
      </c>
      <c r="C4" s="37"/>
      <c r="D4" s="37"/>
      <c r="E4" s="37"/>
      <c r="F4" s="37"/>
      <c r="G4" s="37"/>
      <c r="H4" s="37"/>
      <c r="I4" s="37"/>
      <c r="J4" s="37"/>
    </row>
    <row r="5" spans="1:14" ht="13.25" customHeight="1" x14ac:dyDescent="0.15">
      <c r="B5" s="154" t="s">
        <v>173</v>
      </c>
      <c r="C5" s="118"/>
      <c r="D5" s="118"/>
      <c r="E5" s="118"/>
      <c r="F5" s="120">
        <v>44957</v>
      </c>
      <c r="G5" s="120">
        <f t="shared" ref="G5:J5" si="0">+EOMONTH(F5,12)</f>
        <v>45322</v>
      </c>
      <c r="H5" s="120">
        <f t="shared" si="0"/>
        <v>45688</v>
      </c>
      <c r="I5" s="120">
        <f t="shared" si="0"/>
        <v>46053</v>
      </c>
      <c r="J5" s="120">
        <f t="shared" si="0"/>
        <v>46418</v>
      </c>
      <c r="L5" s="168" t="str">
        <f>FSM!F4</f>
        <v>Active Case:</v>
      </c>
      <c r="M5" s="169"/>
      <c r="N5" s="170" t="str">
        <f>FSM!H4</f>
        <v>Upside</v>
      </c>
    </row>
    <row r="7" spans="1:14" s="167" customFormat="1" ht="13.25" customHeight="1" x14ac:dyDescent="0.15">
      <c r="A7" s="165"/>
      <c r="B7" s="166" t="s">
        <v>6</v>
      </c>
      <c r="F7" s="161">
        <f ca="1">+FSM!H14</f>
        <v>20754.06700000001</v>
      </c>
      <c r="G7" s="161">
        <f ca="1">+FSM!I14</f>
        <v>36396.151221250009</v>
      </c>
      <c r="H7" s="161">
        <f ca="1">+FSM!J14</f>
        <v>55923.15858607502</v>
      </c>
      <c r="I7" s="161">
        <f ca="1">+FSM!K14</f>
        <v>73416.34675458647</v>
      </c>
      <c r="J7" s="161">
        <f ca="1">+FSM!L14</f>
        <v>79742.037206025998</v>
      </c>
    </row>
    <row r="8" spans="1:14" ht="13.25" customHeight="1" x14ac:dyDescent="0.15">
      <c r="B8" s="141" t="s">
        <v>181</v>
      </c>
      <c r="D8" s="144" t="s">
        <v>66</v>
      </c>
      <c r="E8" s="159">
        <f>FSM!L4</f>
        <v>0.125</v>
      </c>
      <c r="F8" s="38">
        <f ca="1">-$E$8*F7</f>
        <v>-2594.2583750000013</v>
      </c>
      <c r="G8" s="38">
        <f ca="1">-$E$8*G7</f>
        <v>-4549.5189026562512</v>
      </c>
      <c r="H8" s="38">
        <f ca="1">-$E$8*H7</f>
        <v>-6990.3948232593775</v>
      </c>
      <c r="I8" s="38">
        <f ca="1">-$E$8*I7</f>
        <v>-9177.0433443233087</v>
      </c>
      <c r="J8" s="38">
        <f ca="1">-$E$8*J7</f>
        <v>-9967.7546507532497</v>
      </c>
    </row>
    <row r="9" spans="1:14" s="36" customFormat="1" ht="13.25" customHeight="1" x14ac:dyDescent="0.15">
      <c r="A9" s="117"/>
      <c r="B9" s="155" t="s">
        <v>39</v>
      </c>
      <c r="C9" s="39"/>
      <c r="D9" s="39"/>
      <c r="E9" s="39"/>
      <c r="F9" s="40">
        <f ca="1">SUM(F7:F8)</f>
        <v>18159.808625000009</v>
      </c>
      <c r="G9" s="40">
        <f t="shared" ref="G9:J9" ca="1" si="1">SUM(G7:G8)</f>
        <v>31846.632318593758</v>
      </c>
      <c r="H9" s="40">
        <f t="shared" ca="1" si="1"/>
        <v>48932.763762815644</v>
      </c>
      <c r="I9" s="40">
        <f t="shared" ca="1" si="1"/>
        <v>64239.303410263165</v>
      </c>
      <c r="J9" s="40">
        <f t="shared" ca="1" si="1"/>
        <v>69774.282555272745</v>
      </c>
    </row>
    <row r="10" spans="1:14" ht="13.25" customHeight="1" x14ac:dyDescent="0.15">
      <c r="B10" s="141" t="s">
        <v>40</v>
      </c>
      <c r="F10" s="158">
        <f ca="1">FSM!H83</f>
        <v>1985.2744000000002</v>
      </c>
      <c r="G10" s="158">
        <f ca="1">FSM!I83</f>
        <v>2807.4567406250003</v>
      </c>
      <c r="H10" s="158">
        <f ca="1">FSM!J83</f>
        <v>3827.6195418800003</v>
      </c>
      <c r="I10" s="158">
        <f ca="1">FSM!K83</f>
        <v>4357.2957265701316</v>
      </c>
      <c r="J10" s="158">
        <f ca="1">FSM!L83</f>
        <v>4322.0700091254048</v>
      </c>
    </row>
    <row r="11" spans="1:14" ht="13.25" customHeight="1" x14ac:dyDescent="0.15">
      <c r="B11" s="141" t="s">
        <v>154</v>
      </c>
      <c r="F11" s="158">
        <f ca="1">FSM!H196</f>
        <v>-2545.2796931506846</v>
      </c>
      <c r="G11" s="158">
        <f ca="1">FSM!I196</f>
        <v>-3179.971343996579</v>
      </c>
      <c r="H11" s="158">
        <f ca="1">FSM!J196</f>
        <v>-3183.08693435034</v>
      </c>
      <c r="I11" s="158">
        <f ca="1">FSM!K196</f>
        <v>-1891.2862375568257</v>
      </c>
      <c r="J11" s="158">
        <f ca="1">FSM!L196</f>
        <v>643.08297813174795</v>
      </c>
    </row>
    <row r="12" spans="1:14" ht="13.25" customHeight="1" x14ac:dyDescent="0.15">
      <c r="B12" s="141" t="s">
        <v>41</v>
      </c>
      <c r="F12" s="158">
        <f ca="1">FSM!H201</f>
        <v>-2000.3920000000005</v>
      </c>
      <c r="G12" s="158">
        <f ca="1">FSM!I201</f>
        <v>-3128.6089875000002</v>
      </c>
      <c r="H12" s="158">
        <f ca="1">FSM!J201</f>
        <v>-4278.2744273500002</v>
      </c>
      <c r="I12" s="158">
        <f ca="1">FSM!K201</f>
        <v>-4983.8773253766249</v>
      </c>
      <c r="J12" s="158">
        <f ca="1">FSM!L201</f>
        <v>-4784.5222323615599</v>
      </c>
    </row>
    <row r="13" spans="1:14" s="36" customFormat="1" ht="13.25" customHeight="1" x14ac:dyDescent="0.15">
      <c r="A13" s="117"/>
      <c r="B13" s="155" t="s">
        <v>42</v>
      </c>
      <c r="C13" s="39"/>
      <c r="D13" s="39"/>
      <c r="E13" s="39"/>
      <c r="F13" s="40">
        <f ca="1">SUM(F9:F12)</f>
        <v>15599.411331849322</v>
      </c>
      <c r="G13" s="40">
        <f t="shared" ref="G13:J13" ca="1" si="2">SUM(G9:G12)</f>
        <v>28345.508727722179</v>
      </c>
      <c r="H13" s="40">
        <f t="shared" ca="1" si="2"/>
        <v>45299.021942995299</v>
      </c>
      <c r="I13" s="40">
        <f t="shared" ca="1" si="2"/>
        <v>61721.435573899842</v>
      </c>
      <c r="J13" s="40">
        <f t="shared" ca="1" si="2"/>
        <v>69954.91331016834</v>
      </c>
    </row>
    <row r="14" spans="1:14" ht="13.25" customHeight="1" x14ac:dyDescent="0.15">
      <c r="B14" s="119" t="s">
        <v>155</v>
      </c>
      <c r="C14" s="128"/>
      <c r="D14" s="128"/>
      <c r="F14" s="129" t="s">
        <v>104</v>
      </c>
      <c r="G14" s="130">
        <f ca="1">+G13/F13-1</f>
        <v>0.8170883583183135</v>
      </c>
      <c r="H14" s="130">
        <f t="shared" ref="H14:J14" ca="1" si="3">+H13/G13-1</f>
        <v>0.59810227356027035</v>
      </c>
      <c r="I14" s="130">
        <f t="shared" ca="1" si="3"/>
        <v>0.36253351455514116</v>
      </c>
      <c r="J14" s="130">
        <f t="shared" ca="1" si="3"/>
        <v>0.13339737904200977</v>
      </c>
    </row>
    <row r="15" spans="1:14" ht="13.25" customHeight="1" x14ac:dyDescent="0.15">
      <c r="B15" s="141" t="s">
        <v>182</v>
      </c>
      <c r="F15" s="131">
        <f>+COUNTA(F$5:$F5)-0.5</f>
        <v>0.5</v>
      </c>
      <c r="G15" s="131">
        <f>+COUNTA($F$5:G5)-0.5</f>
        <v>1.5</v>
      </c>
      <c r="H15" s="131">
        <f>+COUNTA($F$5:H5)-0.5</f>
        <v>2.5</v>
      </c>
      <c r="I15" s="131">
        <f>+COUNTA($F$5:I5)-0.5</f>
        <v>3.5</v>
      </c>
      <c r="J15" s="131">
        <f>+COUNTA($F$5:J5)-0.5</f>
        <v>4.5</v>
      </c>
    </row>
    <row r="16" spans="1:14" s="36" customFormat="1" ht="13.25" customHeight="1" x14ac:dyDescent="0.15">
      <c r="A16" s="117"/>
      <c r="B16" s="155" t="s">
        <v>43</v>
      </c>
      <c r="C16" s="39"/>
      <c r="D16" s="39"/>
      <c r="E16" s="39"/>
      <c r="F16" s="40">
        <f ca="1">+F13/(1+$E$39)^(F15)</f>
        <v>14785.933447098549</v>
      </c>
      <c r="G16" s="40">
        <f ca="1">+G13/(1+$E$39)^(G15)</f>
        <v>24138.254803435364</v>
      </c>
      <c r="H16" s="40">
        <f ca="1">+H13/(1+$E$39)^(H15)</f>
        <v>34657.043472986545</v>
      </c>
      <c r="I16" s="40">
        <f ca="1">+I13/(1+$E$39)^(I15)</f>
        <v>42424.797593800242</v>
      </c>
      <c r="J16" s="40">
        <f ca="1">+J13/(1+$E$39)^(J15)</f>
        <v>43199.931420266243</v>
      </c>
    </row>
    <row r="18" spans="1:10" ht="13.25" customHeight="1" x14ac:dyDescent="0.15">
      <c r="A18" s="117" t="s">
        <v>0</v>
      </c>
      <c r="B18" s="35" t="s">
        <v>44</v>
      </c>
      <c r="C18" s="37"/>
      <c r="D18" s="41"/>
      <c r="E18" s="37"/>
      <c r="G18" s="37" t="s">
        <v>45</v>
      </c>
      <c r="H18" s="37"/>
      <c r="I18" s="37"/>
      <c r="J18" s="41"/>
    </row>
    <row r="19" spans="1:10" ht="13.25" customHeight="1" x14ac:dyDescent="0.15">
      <c r="B19" s="154" t="s">
        <v>173</v>
      </c>
      <c r="C19" s="118"/>
      <c r="D19" s="118"/>
      <c r="E19" s="118"/>
      <c r="G19" s="118" t="s">
        <v>173</v>
      </c>
      <c r="H19" s="118"/>
      <c r="I19" s="118"/>
      <c r="J19" s="118"/>
    </row>
    <row r="21" spans="1:10" ht="13.25" customHeight="1" x14ac:dyDescent="0.15">
      <c r="B21" s="156" t="s">
        <v>157</v>
      </c>
      <c r="C21" s="121"/>
      <c r="D21" s="132"/>
      <c r="E21" s="132"/>
      <c r="G21" s="119" t="s">
        <v>168</v>
      </c>
      <c r="J21" s="129">
        <f ca="1">+SUM(F16:J16)</f>
        <v>159205.96073758695</v>
      </c>
    </row>
    <row r="22" spans="1:10" ht="13.25" customHeight="1" x14ac:dyDescent="0.15">
      <c r="B22" s="153" t="s">
        <v>46</v>
      </c>
      <c r="C22" s="127"/>
      <c r="D22" s="127"/>
      <c r="E22" s="160">
        <f>FSM!G15</f>
        <v>-236</v>
      </c>
      <c r="G22" s="119" t="s">
        <v>158</v>
      </c>
      <c r="J22" s="51">
        <v>0.04</v>
      </c>
    </row>
    <row r="23" spans="1:10" ht="13.25" customHeight="1" x14ac:dyDescent="0.15">
      <c r="B23" s="141" t="s">
        <v>159</v>
      </c>
      <c r="E23" s="161">
        <f>SUM(FSM!G113:G114)</f>
        <v>10946</v>
      </c>
      <c r="G23" s="119" t="s">
        <v>169</v>
      </c>
      <c r="J23" s="129">
        <f ca="1">+J13*(1+J22)</f>
        <v>72753.109842575082</v>
      </c>
    </row>
    <row r="24" spans="1:10" ht="13.25" customHeight="1" x14ac:dyDescent="0.15">
      <c r="B24" s="155" t="s">
        <v>48</v>
      </c>
      <c r="C24" s="39"/>
      <c r="D24" s="39"/>
      <c r="E24" s="45">
        <f>-E22/E23</f>
        <v>2.1560387356111821E-2</v>
      </c>
      <c r="G24" s="119" t="s">
        <v>180</v>
      </c>
      <c r="J24" s="129">
        <f ca="1">+J23/(E39-J22)</f>
        <v>995787.25747638696</v>
      </c>
    </row>
    <row r="25" spans="1:10" ht="13.25" customHeight="1" x14ac:dyDescent="0.15">
      <c r="B25" s="141" t="s">
        <v>160</v>
      </c>
      <c r="E25" s="130">
        <f>(FSM!G19/FSM!G18)*-1</f>
        <v>1.9012171813700834E-2</v>
      </c>
      <c r="G25" s="119" t="s">
        <v>170</v>
      </c>
      <c r="J25" s="129">
        <f ca="1">+J24/(1+E39)^J15</f>
        <v>614938.09650539618</v>
      </c>
    </row>
    <row r="26" spans="1:10" ht="13.25" customHeight="1" x14ac:dyDescent="0.15">
      <c r="B26" s="155" t="s">
        <v>49</v>
      </c>
      <c r="C26" s="39"/>
      <c r="D26" s="39"/>
      <c r="E26" s="45">
        <f>+E24*(1-E25)</f>
        <v>2.1150477567327481E-2</v>
      </c>
      <c r="G26" s="39" t="s">
        <v>177</v>
      </c>
      <c r="H26" s="39"/>
      <c r="I26" s="39"/>
      <c r="J26" s="50">
        <f ca="1">+J21+J25</f>
        <v>774144.05724298314</v>
      </c>
    </row>
    <row r="27" spans="1:10" ht="13.25" customHeight="1" x14ac:dyDescent="0.15">
      <c r="G27" s="119" t="s">
        <v>171</v>
      </c>
      <c r="J27" s="162">
        <f>-(FSM!G113+FSM!G114-FSM!G98)</f>
        <v>10262</v>
      </c>
    </row>
    <row r="28" spans="1:10" ht="13.25" customHeight="1" x14ac:dyDescent="0.15">
      <c r="B28" s="156" t="s">
        <v>162</v>
      </c>
      <c r="C28" s="121"/>
      <c r="D28" s="132"/>
      <c r="E28" s="132"/>
      <c r="G28" s="39" t="s">
        <v>179</v>
      </c>
      <c r="H28" s="39"/>
      <c r="I28" s="39"/>
      <c r="J28" s="50">
        <f ca="1">SUM(J26:J27)</f>
        <v>784406.05724298314</v>
      </c>
    </row>
    <row r="29" spans="1:10" ht="13.25" customHeight="1" x14ac:dyDescent="0.15">
      <c r="B29" s="153" t="s">
        <v>50</v>
      </c>
      <c r="C29" s="127"/>
      <c r="D29" s="127"/>
      <c r="E29" s="122">
        <v>2.8000000000000001E-2</v>
      </c>
      <c r="G29" s="119" t="s">
        <v>150</v>
      </c>
      <c r="J29" s="162">
        <f>FSM!G255</f>
        <v>2535</v>
      </c>
    </row>
    <row r="30" spans="1:10" ht="13.25" customHeight="1" thickBot="1" x14ac:dyDescent="0.2">
      <c r="B30" s="141" t="s">
        <v>163</v>
      </c>
      <c r="E30" s="48">
        <v>1.59</v>
      </c>
    </row>
    <row r="31" spans="1:10" ht="13.25" customHeight="1" thickBot="1" x14ac:dyDescent="0.2">
      <c r="B31" s="141" t="s">
        <v>51</v>
      </c>
      <c r="E31" s="47">
        <v>5.5E-2</v>
      </c>
      <c r="G31" s="171" t="s">
        <v>178</v>
      </c>
      <c r="H31" s="172"/>
      <c r="I31" s="172"/>
      <c r="J31" s="173">
        <f ca="1">+J28/J29</f>
        <v>309.43039733451013</v>
      </c>
    </row>
    <row r="32" spans="1:10" ht="13.25" customHeight="1" x14ac:dyDescent="0.15">
      <c r="B32" s="155" t="s">
        <v>52</v>
      </c>
      <c r="C32" s="39"/>
      <c r="D32" s="39"/>
      <c r="E32" s="45">
        <f>+E29+E30*E31</f>
        <v>0.11545</v>
      </c>
      <c r="G32" s="141" t="s">
        <v>172</v>
      </c>
      <c r="H32" s="128"/>
      <c r="I32" s="128"/>
      <c r="J32" s="135">
        <f ca="1">+FSM!D3/J31-1</f>
        <v>0.45444663445095501</v>
      </c>
    </row>
    <row r="34" spans="1:10" ht="13.25" customHeight="1" x14ac:dyDescent="0.15">
      <c r="B34" s="156" t="s">
        <v>164</v>
      </c>
      <c r="C34" s="121"/>
      <c r="D34" s="123" t="s">
        <v>165</v>
      </c>
      <c r="E34" s="123" t="s">
        <v>166</v>
      </c>
    </row>
    <row r="35" spans="1:10" s="36" customFormat="1" ht="13.25" customHeight="1" x14ac:dyDescent="0.15">
      <c r="A35" s="117"/>
      <c r="B35" s="153" t="s">
        <v>47</v>
      </c>
      <c r="C35" s="127"/>
      <c r="D35" s="133">
        <f>+E23</f>
        <v>10946</v>
      </c>
      <c r="E35" s="134">
        <f>+D35/$D$37</f>
        <v>2.5335265226387932E-2</v>
      </c>
    </row>
    <row r="36" spans="1:10" ht="13.25" customHeight="1" x14ac:dyDescent="0.15">
      <c r="B36" s="141" t="s">
        <v>167</v>
      </c>
      <c r="D36" s="49">
        <v>421100</v>
      </c>
      <c r="E36" s="135">
        <f>+D36/$D$37</f>
        <v>0.97466473477361204</v>
      </c>
    </row>
    <row r="37" spans="1:10" ht="13.25" customHeight="1" x14ac:dyDescent="0.15">
      <c r="B37" s="155" t="s">
        <v>53</v>
      </c>
      <c r="C37" s="39"/>
      <c r="D37" s="50">
        <f>SUM(D35:D36)</f>
        <v>432046</v>
      </c>
      <c r="E37" s="152">
        <f>SUM(E35:E36)</f>
        <v>1</v>
      </c>
    </row>
    <row r="39" spans="1:10" ht="13.25" customHeight="1" x14ac:dyDescent="0.15">
      <c r="B39" s="157" t="s">
        <v>54</v>
      </c>
      <c r="C39" s="142"/>
      <c r="D39" s="142"/>
      <c r="E39" s="143">
        <f>+(E26*E35)+(E32*E36)</f>
        <v>0.11306089658844652</v>
      </c>
    </row>
    <row r="41" spans="1:10" ht="13.25" customHeight="1" x14ac:dyDescent="0.15">
      <c r="A41" s="117" t="s">
        <v>0</v>
      </c>
      <c r="B41" s="35" t="s">
        <v>156</v>
      </c>
      <c r="C41" s="42"/>
      <c r="D41" s="42"/>
      <c r="E41" s="42"/>
      <c r="F41" s="42"/>
      <c r="G41" s="42"/>
      <c r="H41" s="42"/>
      <c r="I41" s="42"/>
      <c r="J41" s="42"/>
    </row>
    <row r="42" spans="1:10" ht="13.25" customHeight="1" x14ac:dyDescent="0.15">
      <c r="B42" s="127"/>
      <c r="C42" s="127"/>
      <c r="D42" s="127"/>
      <c r="E42" s="127"/>
      <c r="F42" s="127"/>
      <c r="G42" s="127"/>
      <c r="H42" s="127"/>
      <c r="I42" s="127"/>
      <c r="J42" s="127"/>
    </row>
    <row r="43" spans="1:10" ht="13.25" customHeight="1" x14ac:dyDescent="0.15">
      <c r="B43" s="119"/>
      <c r="C43" s="43" t="s">
        <v>158</v>
      </c>
      <c r="D43" s="43"/>
      <c r="E43" s="43"/>
      <c r="F43" s="43"/>
      <c r="G43" s="43"/>
      <c r="H43" s="43"/>
      <c r="I43" s="43"/>
    </row>
    <row r="44" spans="1:10" ht="13.25" customHeight="1" x14ac:dyDescent="0.15">
      <c r="B44" s="119"/>
      <c r="C44" s="146">
        <f ca="1">+J31</f>
        <v>309.43039733451013</v>
      </c>
      <c r="D44" s="44">
        <v>0.02</v>
      </c>
      <c r="E44" s="136">
        <f>+D44+0.5%</f>
        <v>2.5000000000000001E-2</v>
      </c>
      <c r="F44" s="136">
        <f t="shared" ref="F44:H44" si="4">+E44+0.5%</f>
        <v>3.0000000000000002E-2</v>
      </c>
      <c r="G44" s="136">
        <f t="shared" si="4"/>
        <v>3.5000000000000003E-2</v>
      </c>
      <c r="H44" s="136">
        <f t="shared" si="4"/>
        <v>0.04</v>
      </c>
      <c r="I44" s="136">
        <f t="shared" ref="I44" si="5">+H44+0.5%</f>
        <v>4.4999999999999998E-2</v>
      </c>
    </row>
    <row r="45" spans="1:10" ht="13.25" customHeight="1" x14ac:dyDescent="0.15">
      <c r="B45" s="119"/>
      <c r="C45" s="44">
        <v>0.08</v>
      </c>
      <c r="D45" s="147">
        <f t="dataTable" ref="D45:I53" dt2D="1" dtr="1" r1="J22" r2="E39" ca="1"/>
        <v>404.59462009660433</v>
      </c>
      <c r="E45" s="148">
        <v>436.53302183078705</v>
      </c>
      <c r="F45" s="148">
        <v>474.85910391180613</v>
      </c>
      <c r="G45" s="148">
        <v>521.70209312194072</v>
      </c>
      <c r="H45" s="148">
        <v>580.25582963460886</v>
      </c>
      <c r="I45" s="149">
        <v>655.53920515089646</v>
      </c>
    </row>
    <row r="46" spans="1:10" ht="13.25" customHeight="1" x14ac:dyDescent="0.15">
      <c r="B46" s="119"/>
      <c r="C46" s="136">
        <f>+C45+0.5%</f>
        <v>8.5000000000000006E-2</v>
      </c>
      <c r="D46" s="150">
        <v>371.81932722516223</v>
      </c>
      <c r="E46" s="145">
        <v>398.41074986780086</v>
      </c>
      <c r="F46" s="145">
        <v>429.83697662728304</v>
      </c>
      <c r="G46" s="145">
        <v>467.54844873866153</v>
      </c>
      <c r="H46" s="145">
        <v>513.64024798590208</v>
      </c>
      <c r="I46" s="137">
        <v>571.25499704495257</v>
      </c>
    </row>
    <row r="47" spans="1:10" ht="13.25" customHeight="1" x14ac:dyDescent="0.15">
      <c r="B47" s="46"/>
      <c r="C47" s="136">
        <f t="shared" ref="C47:C53" si="6">+C46+0.5%</f>
        <v>9.0000000000000011E-2</v>
      </c>
      <c r="D47" s="150">
        <v>343.75647878791415</v>
      </c>
      <c r="E47" s="145">
        <v>366.18528321137217</v>
      </c>
      <c r="F47" s="145">
        <v>392.35222170540652</v>
      </c>
      <c r="G47" s="145">
        <v>423.27678538017437</v>
      </c>
      <c r="H47" s="145">
        <v>460.38626178989603</v>
      </c>
      <c r="I47" s="137">
        <v>505.74228851288865</v>
      </c>
    </row>
    <row r="48" spans="1:10" ht="13.25" customHeight="1" x14ac:dyDescent="0.15">
      <c r="B48" s="138" t="s">
        <v>161</v>
      </c>
      <c r="C48" s="136">
        <f t="shared" si="6"/>
        <v>9.5000000000000015E-2</v>
      </c>
      <c r="D48" s="150">
        <v>319.46299626780774</v>
      </c>
      <c r="E48" s="145">
        <v>338.59240483201091</v>
      </c>
      <c r="F48" s="145">
        <v>360.6647993291682</v>
      </c>
      <c r="G48" s="145">
        <v>386.41592624251854</v>
      </c>
      <c r="H48" s="145">
        <v>416.8490762310235</v>
      </c>
      <c r="I48" s="137">
        <v>453.36885621722922</v>
      </c>
    </row>
    <row r="49" spans="2:9" ht="13.25" customHeight="1" x14ac:dyDescent="0.15">
      <c r="B49" s="119"/>
      <c r="C49" s="136">
        <f t="shared" si="6"/>
        <v>0.10000000000000002</v>
      </c>
      <c r="D49" s="150">
        <v>298.23158505199257</v>
      </c>
      <c r="E49" s="145">
        <v>314.70503705828071</v>
      </c>
      <c r="F49" s="145">
        <v>333.53183935118136</v>
      </c>
      <c r="G49" s="145">
        <v>355.25507276606686</v>
      </c>
      <c r="H49" s="145">
        <v>380.59884508343322</v>
      </c>
      <c r="I49" s="137">
        <v>410.55057600395702</v>
      </c>
    </row>
    <row r="50" spans="2:9" ht="13.25" customHeight="1" x14ac:dyDescent="0.15">
      <c r="B50" s="119"/>
      <c r="C50" s="136">
        <f t="shared" si="6"/>
        <v>0.10500000000000002</v>
      </c>
      <c r="D50" s="150">
        <v>279.52138581313352</v>
      </c>
      <c r="E50" s="145">
        <v>293.82788510253886</v>
      </c>
      <c r="F50" s="145">
        <v>310.0419176305316</v>
      </c>
      <c r="G50" s="145">
        <v>328.57224051966614</v>
      </c>
      <c r="H50" s="145">
        <v>349.95338231482134</v>
      </c>
      <c r="I50" s="137">
        <v>374.89804774250234</v>
      </c>
    </row>
    <row r="51" spans="2:9" ht="13.25" customHeight="1" x14ac:dyDescent="0.15">
      <c r="B51" s="119"/>
      <c r="C51" s="136">
        <f t="shared" si="6"/>
        <v>0.11000000000000003</v>
      </c>
      <c r="D51" s="150">
        <v>262.91174211067607</v>
      </c>
      <c r="E51" s="145">
        <v>275.42926523874848</v>
      </c>
      <c r="F51" s="145">
        <v>289.51147875782999</v>
      </c>
      <c r="G51" s="145">
        <v>305.47132074612239</v>
      </c>
      <c r="H51" s="145">
        <v>323.71114016131372</v>
      </c>
      <c r="I51" s="137">
        <v>344.75708564038058</v>
      </c>
    </row>
    <row r="52" spans="2:9" ht="13.25" customHeight="1" x14ac:dyDescent="0.15">
      <c r="B52" s="119"/>
      <c r="C52" s="136">
        <f t="shared" si="6"/>
        <v>0.11500000000000003</v>
      </c>
      <c r="D52" s="150">
        <v>248.0705677094615</v>
      </c>
      <c r="E52" s="145">
        <v>259.09565693381086</v>
      </c>
      <c r="F52" s="145">
        <v>271.41781547867186</v>
      </c>
      <c r="G52" s="145">
        <v>285.28024384164058</v>
      </c>
      <c r="H52" s="145">
        <v>300.99099598633842</v>
      </c>
      <c r="I52" s="137">
        <v>318.94614129456448</v>
      </c>
    </row>
    <row r="53" spans="2:9" ht="13.25" customHeight="1" x14ac:dyDescent="0.15">
      <c r="B53" s="119"/>
      <c r="C53" s="136">
        <f t="shared" si="6"/>
        <v>0.12000000000000004</v>
      </c>
      <c r="D53" s="151">
        <v>234.73220371414524</v>
      </c>
      <c r="E53" s="139">
        <v>244.50060694905594</v>
      </c>
      <c r="F53" s="139">
        <v>255.35438832117885</v>
      </c>
      <c r="G53" s="139">
        <v>267.48508514884571</v>
      </c>
      <c r="H53" s="139">
        <v>281.13211907997089</v>
      </c>
      <c r="I53" s="140">
        <v>296.59875753524608</v>
      </c>
    </row>
    <row r="54" spans="2:9" ht="13.25" customHeight="1" x14ac:dyDescent="0.15">
      <c r="B54" s="11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FSM</vt:lpstr>
      <vt:lpstr>DCF</vt:lpstr>
      <vt:lpstr>Circ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2022-05-19T09:57:46Z</dcterms:created>
  <dcterms:modified xsi:type="dcterms:W3CDTF">2023-11-05T04:42:27Z</dcterms:modified>
</cp:coreProperties>
</file>